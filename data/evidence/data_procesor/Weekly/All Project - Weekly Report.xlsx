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EV\qualityreport\data\evidence\data_procesor\Weekly\"/>
    </mc:Choice>
  </mc:AlternateContent>
  <xr:revisionPtr revIDLastSave="0" documentId="13_ncr:1_{1EF1B47F-E9EC-4952-A7AB-B2DEBB954DCD}" xr6:coauthVersionLast="47" xr6:coauthVersionMax="47" xr10:uidLastSave="{00000000-0000-0000-0000-000000000000}"/>
  <bookViews>
    <workbookView xWindow="-103" yWindow="-103" windowWidth="24892" windowHeight="14914" tabRatio="560" activeTab="7" xr2:uid="{1BFDC0BB-3264-4789-A41B-B16DE7BD9ED5}"/>
  </bookViews>
  <sheets>
    <sheet name="18 Sep 25" sheetId="20" r:id="rId1"/>
    <sheet name="25 Sep 25" sheetId="21" r:id="rId2"/>
    <sheet name="Draft" sheetId="22" state="hidden" r:id="rId3"/>
    <sheet name="Test" sheetId="23" state="hidden" r:id="rId4"/>
    <sheet name="02 Oct 25" sheetId="24" r:id="rId5"/>
    <sheet name="Draft V.2" sheetId="25" state="hidden" r:id="rId6"/>
    <sheet name="09 Oct 25" sheetId="28" r:id="rId7"/>
    <sheet name="16 Oct 25" sheetId="29" r:id="rId8"/>
    <sheet name="23 Oct 25" sheetId="3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30" l="1"/>
  <c r="H10" i="30"/>
  <c r="G10" i="30"/>
  <c r="I9" i="30"/>
  <c r="H9" i="30"/>
  <c r="G9" i="30"/>
  <c r="I8" i="30"/>
  <c r="H8" i="30"/>
  <c r="G8" i="30"/>
  <c r="I7" i="30"/>
  <c r="H7" i="30"/>
  <c r="G7" i="30"/>
  <c r="I6" i="30"/>
  <c r="H6" i="30"/>
  <c r="G6" i="30"/>
  <c r="I5" i="30"/>
  <c r="H5" i="30"/>
  <c r="G5" i="30"/>
  <c r="I4" i="30"/>
  <c r="H4" i="30"/>
  <c r="H11" i="30" s="1"/>
  <c r="G4" i="30"/>
  <c r="I3" i="30"/>
  <c r="H3" i="30"/>
  <c r="G3" i="30"/>
  <c r="I2" i="30"/>
  <c r="H2" i="30"/>
  <c r="G2" i="30"/>
  <c r="F9" i="20"/>
  <c r="E9" i="20"/>
  <c r="D9" i="20"/>
  <c r="C9" i="20"/>
  <c r="I8" i="20"/>
  <c r="H8" i="20"/>
  <c r="G8" i="20"/>
  <c r="I7" i="20"/>
  <c r="H7" i="20"/>
  <c r="G7" i="20"/>
  <c r="I6" i="20"/>
  <c r="H6" i="20"/>
  <c r="G6" i="20"/>
  <c r="I5" i="20"/>
  <c r="H5" i="20"/>
  <c r="G5" i="20"/>
  <c r="I4" i="20"/>
  <c r="H4" i="20"/>
  <c r="G4" i="20"/>
  <c r="I3" i="20"/>
  <c r="H3" i="20"/>
  <c r="G3" i="20"/>
  <c r="I2" i="20"/>
  <c r="H2" i="20"/>
  <c r="G2" i="20"/>
  <c r="F11" i="21"/>
  <c r="E11" i="21"/>
  <c r="D11" i="21"/>
  <c r="C11" i="21"/>
  <c r="I10" i="21"/>
  <c r="H10" i="21"/>
  <c r="G10" i="21"/>
  <c r="I9" i="21"/>
  <c r="H9" i="21"/>
  <c r="G9" i="21"/>
  <c r="I8" i="21"/>
  <c r="H8" i="21"/>
  <c r="G8" i="21"/>
  <c r="I7" i="21"/>
  <c r="H7" i="21"/>
  <c r="G7" i="21"/>
  <c r="I6" i="21"/>
  <c r="H6" i="21"/>
  <c r="G6" i="21"/>
  <c r="I5" i="21"/>
  <c r="H5" i="21"/>
  <c r="G5" i="21"/>
  <c r="I4" i="21"/>
  <c r="H4" i="21"/>
  <c r="G4" i="21"/>
  <c r="I3" i="21"/>
  <c r="H3" i="21"/>
  <c r="G3" i="21"/>
  <c r="I2" i="21"/>
  <c r="H2" i="21"/>
  <c r="G2" i="21"/>
  <c r="F11" i="30"/>
  <c r="E11" i="30"/>
  <c r="D11" i="30"/>
  <c r="C11" i="30"/>
  <c r="I11" i="30"/>
  <c r="G2" i="29"/>
  <c r="F11" i="29"/>
  <c r="C11" i="29"/>
  <c r="E11" i="29"/>
  <c r="D11" i="29"/>
  <c r="I10" i="29"/>
  <c r="H10" i="29"/>
  <c r="G10" i="29"/>
  <c r="I9" i="29"/>
  <c r="H9" i="29"/>
  <c r="G9" i="29"/>
  <c r="I8" i="29"/>
  <c r="H8" i="29"/>
  <c r="G8" i="29"/>
  <c r="I7" i="29"/>
  <c r="H7" i="29"/>
  <c r="G7" i="29"/>
  <c r="I6" i="29"/>
  <c r="H6" i="29"/>
  <c r="G6" i="29"/>
  <c r="G11" i="29" s="1"/>
  <c r="I5" i="29"/>
  <c r="H5" i="29"/>
  <c r="G5" i="29"/>
  <c r="I4" i="29"/>
  <c r="H4" i="29"/>
  <c r="G4" i="29"/>
  <c r="I3" i="29"/>
  <c r="H3" i="29"/>
  <c r="G3" i="29"/>
  <c r="I2" i="29"/>
  <c r="H2" i="29"/>
  <c r="I2" i="28"/>
  <c r="H2" i="28"/>
  <c r="I7" i="28"/>
  <c r="G8" i="24"/>
  <c r="G2" i="28"/>
  <c r="G3" i="28"/>
  <c r="H3" i="28"/>
  <c r="I3" i="28"/>
  <c r="G4" i="28"/>
  <c r="H4" i="28"/>
  <c r="I4" i="28"/>
  <c r="G5" i="28"/>
  <c r="H5" i="28"/>
  <c r="I5" i="28"/>
  <c r="G6" i="28"/>
  <c r="H6" i="28"/>
  <c r="I6" i="28"/>
  <c r="G7" i="28"/>
  <c r="H7" i="28"/>
  <c r="G8" i="28"/>
  <c r="H8" i="28"/>
  <c r="I8" i="28"/>
  <c r="G9" i="28"/>
  <c r="H9" i="28"/>
  <c r="I9" i="28"/>
  <c r="G10" i="28"/>
  <c r="H10" i="28"/>
  <c r="I10" i="28"/>
  <c r="C11" i="28"/>
  <c r="D11" i="28"/>
  <c r="E11" i="28"/>
  <c r="F11" i="28"/>
  <c r="D24" i="25"/>
  <c r="E24" i="25"/>
  <c r="D25" i="25"/>
  <c r="E25" i="25"/>
  <c r="D26" i="25"/>
  <c r="E26" i="25"/>
  <c r="D27" i="25"/>
  <c r="E27" i="25"/>
  <c r="D28" i="25"/>
  <c r="E28" i="25"/>
  <c r="D29" i="25"/>
  <c r="E29" i="25"/>
  <c r="D30" i="25"/>
  <c r="E30" i="25"/>
  <c r="D31" i="25"/>
  <c r="E31" i="25"/>
  <c r="E23" i="25"/>
  <c r="D23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I4" i="24"/>
  <c r="I5" i="24"/>
  <c r="I8" i="24"/>
  <c r="G2" i="24"/>
  <c r="E32" i="23"/>
  <c r="E23" i="23"/>
  <c r="D23" i="23"/>
  <c r="E31" i="23"/>
  <c r="E29" i="23"/>
  <c r="E33" i="23"/>
  <c r="D24" i="23"/>
  <c r="D25" i="23"/>
  <c r="D26" i="23"/>
  <c r="D27" i="23"/>
  <c r="D28" i="23"/>
  <c r="D29" i="23"/>
  <c r="D30" i="23"/>
  <c r="C2" i="23" s="1"/>
  <c r="D31" i="23"/>
  <c r="D32" i="23"/>
  <c r="D33" i="23"/>
  <c r="D34" i="23"/>
  <c r="D35" i="23"/>
  <c r="D36" i="23"/>
  <c r="D37" i="23"/>
  <c r="E24" i="23"/>
  <c r="E25" i="23"/>
  <c r="E26" i="23"/>
  <c r="E27" i="23"/>
  <c r="E28" i="23"/>
  <c r="E30" i="23"/>
  <c r="E34" i="23"/>
  <c r="E35" i="23"/>
  <c r="E36" i="23"/>
  <c r="E37" i="23"/>
  <c r="C4" i="22"/>
  <c r="C3" i="22"/>
  <c r="C2" i="22"/>
  <c r="G11" i="30" l="1"/>
  <c r="H11" i="29"/>
  <c r="I11" i="29"/>
  <c r="G9" i="20"/>
  <c r="H9" i="20"/>
  <c r="I9" i="20"/>
  <c r="I11" i="21"/>
  <c r="G11" i="21"/>
  <c r="H11" i="21"/>
  <c r="I11" i="28"/>
  <c r="H11" i="28"/>
  <c r="G11" i="28"/>
  <c r="J28" i="25"/>
  <c r="J30" i="25"/>
  <c r="H29" i="25"/>
  <c r="I23" i="25"/>
  <c r="I31" i="25"/>
  <c r="J31" i="25"/>
  <c r="H31" i="25"/>
  <c r="J23" i="25"/>
  <c r="H27" i="25"/>
  <c r="H25" i="25"/>
  <c r="J29" i="25"/>
  <c r="J27" i="25"/>
  <c r="J24" i="25"/>
  <c r="H30" i="25"/>
  <c r="H28" i="25"/>
  <c r="I26" i="25"/>
  <c r="J25" i="25"/>
  <c r="H24" i="25"/>
  <c r="D32" i="25"/>
  <c r="C2" i="25" s="1"/>
  <c r="J26" i="25"/>
  <c r="I25" i="25"/>
  <c r="I29" i="25"/>
  <c r="I27" i="25"/>
  <c r="H26" i="25"/>
  <c r="I24" i="25"/>
  <c r="G32" i="25"/>
  <c r="F32" i="25"/>
  <c r="H23" i="25"/>
  <c r="E32" i="25"/>
  <c r="C3" i="25" s="1"/>
  <c r="I30" i="25"/>
  <c r="I28" i="25"/>
  <c r="I9" i="24"/>
  <c r="H6" i="24"/>
  <c r="H4" i="24"/>
  <c r="H5" i="24"/>
  <c r="I10" i="24"/>
  <c r="I3" i="24"/>
  <c r="H3" i="24"/>
  <c r="G3" i="24"/>
  <c r="H2" i="24"/>
  <c r="H10" i="24"/>
  <c r="H9" i="24"/>
  <c r="H7" i="24"/>
  <c r="G10" i="24"/>
  <c r="G4" i="24"/>
  <c r="G9" i="24"/>
  <c r="G7" i="24"/>
  <c r="G5" i="24"/>
  <c r="I6" i="24"/>
  <c r="E11" i="24"/>
  <c r="I7" i="24"/>
  <c r="G6" i="24"/>
  <c r="F11" i="24"/>
  <c r="H8" i="24"/>
  <c r="D11" i="24"/>
  <c r="I2" i="24"/>
  <c r="C11" i="24"/>
  <c r="F28" i="23"/>
  <c r="G28" i="23" s="1"/>
  <c r="F27" i="23"/>
  <c r="G27" i="23" s="1"/>
  <c r="F26" i="23"/>
  <c r="G26" i="23" s="1"/>
  <c r="F25" i="23"/>
  <c r="G25" i="23" s="1"/>
  <c r="F24" i="23"/>
  <c r="G24" i="23" s="1"/>
  <c r="F23" i="23"/>
  <c r="G23" i="23" s="1"/>
  <c r="F36" i="23"/>
  <c r="G36" i="23" s="1"/>
  <c r="F34" i="23"/>
  <c r="G34" i="23" s="1"/>
  <c r="F37" i="23"/>
  <c r="G37" i="23" s="1"/>
  <c r="F35" i="23"/>
  <c r="G35" i="23" s="1"/>
  <c r="F31" i="23"/>
  <c r="G31" i="23" s="1"/>
  <c r="F32" i="23"/>
  <c r="G32" i="23" s="1"/>
  <c r="F29" i="23"/>
  <c r="G29" i="23" s="1"/>
  <c r="F30" i="23"/>
  <c r="G30" i="23" s="1"/>
  <c r="C4" i="23" s="1"/>
  <c r="F33" i="23"/>
  <c r="G33" i="23" s="1"/>
  <c r="I11" i="24" l="1"/>
  <c r="J32" i="25"/>
  <c r="C4" i="25" s="1"/>
  <c r="H32" i="25"/>
  <c r="I32" i="25"/>
  <c r="G11" i="24"/>
  <c r="H11" i="24"/>
  <c r="C3" i="23"/>
</calcChain>
</file>

<file path=xl/sharedStrings.xml><?xml version="1.0" encoding="utf-8"?>
<sst xmlns="http://schemas.openxmlformats.org/spreadsheetml/2006/main" count="333" uniqueCount="127">
  <si>
    <t>Project Name</t>
  </si>
  <si>
    <t>Period</t>
  </si>
  <si>
    <t>Total Workload (Planned)</t>
  </si>
  <si>
    <t>Completed Workload (Actual)</t>
  </si>
  <si>
    <t>Defect Found</t>
  </si>
  <si>
    <t>Defect Fixed</t>
  </si>
  <si>
    <t>Productivity Rate</t>
  </si>
  <si>
    <t>Defect Density</t>
  </si>
  <si>
    <t>Defect Correction Rate</t>
  </si>
  <si>
    <t>Issue/ Risk/ Note</t>
  </si>
  <si>
    <t>Purchasing Enhancement Project</t>
  </si>
  <si>
    <t>8 ~ 12 Sep 25</t>
  </si>
  <si>
    <t>1 Subtask, and 4 Bugs already resolved</t>
  </si>
  <si>
    <t>SF Automation 2025</t>
  </si>
  <si>
    <t>4 ~ 10 Sep 25</t>
  </si>
  <si>
    <t>8 task finish</t>
  </si>
  <si>
    <t>SF Core Unit 2025</t>
  </si>
  <si>
    <t>9 tasks and 2 stories have been completed, and 1 bug has been fixed.</t>
  </si>
  <si>
    <t>SF Process DX Team 2025</t>
  </si>
  <si>
    <t>Finish 3 task, 1 Task still in progress</t>
  </si>
  <si>
    <t>SINGLEX Business Unit Testing Project</t>
  </si>
  <si>
    <t>25 SSR have completed testing, while 1 SSR is still inprogress testing due to prioritizing the completion of a hotfix ticket that needs to be deployed first.</t>
  </si>
  <si>
    <t>KB Bank System Maintenance</t>
  </si>
  <si>
    <t>5 tasks have been completed by LGSM Team, and after this the Banking Team will do Testing. And 1 bug already fixed</t>
  </si>
  <si>
    <t>LGSM Career Job Portal</t>
  </si>
  <si>
    <t>One complex defect is currently being resolved. It is not considered a blocker, with an estimated completion date of next week.</t>
  </si>
  <si>
    <t>Total</t>
  </si>
  <si>
    <t>15 ~ 19 Sep 25</t>
  </si>
  <si>
    <t>Finish all request</t>
  </si>
  <si>
    <t>11 ~ 17 Sep 25</t>
  </si>
  <si>
    <t>There are some tasks that have more than 20 sub-tasks, which means their workload is quite large.</t>
  </si>
  <si>
    <t>SF Manufacture DX Team 2025</t>
  </si>
  <si>
    <t>27 task already finish, no bug found.</t>
  </si>
  <si>
    <t xml:space="preserve">24 SSR ticket already finish, 4 defect found already created ticket and still fixing by developer </t>
  </si>
  <si>
    <t>Several tasks in In Development status are due at the end of October 2025 because they have a large workload.</t>
  </si>
  <si>
    <t>Resolved 17 bugs. Completed 8 user stories. Finished 8 sub-tasks.</t>
  </si>
  <si>
    <t>Bank Sinarmas Project</t>
  </si>
  <si>
    <t>The plan was 159 tasks, but the team completed 170 because some tasks were finished faster than expected and a few priorities were accelerated. So the team slightly overachieved the target.</t>
  </si>
  <si>
    <t>Total Workload</t>
  </si>
  <si>
    <t>Completed Workload</t>
  </si>
  <si>
    <t>Averange Productivity Rate</t>
  </si>
  <si>
    <t>Weekly Period</t>
  </si>
  <si>
    <t>Comment</t>
  </si>
  <si>
    <t>Hakim</t>
  </si>
  <si>
    <t>[LGUS] Purchasing Enhancement Project</t>
  </si>
  <si>
    <t>Wirework</t>
  </si>
  <si>
    <t>GDC Smart Factory - SF Automation 2025</t>
  </si>
  <si>
    <t>GDC Smart Factory - SF Core Unit 2025</t>
  </si>
  <si>
    <t>Close</t>
  </si>
  <si>
    <t>GDC SF Intelligent Unit Testing Project</t>
  </si>
  <si>
    <t>GDC Smart Factory - SF Manufacturing DX Team 2025</t>
  </si>
  <si>
    <t>GDC Smart Factory - SF Process DX Team 2025</t>
  </si>
  <si>
    <t>Candra</t>
  </si>
  <si>
    <t>GDC SINGLEX Business Unit Testing Project</t>
  </si>
  <si>
    <t>Virza</t>
  </si>
  <si>
    <r>
      <t xml:space="preserve">Network Installation for New Tobacco Factory of </t>
    </r>
    <r>
      <rPr>
        <b/>
        <sz val="10"/>
        <color rgb="FF000000"/>
        <rFont val="Aptos Narrow"/>
        <scheme val="minor"/>
      </rPr>
      <t xml:space="preserve">KT&amp;G </t>
    </r>
  </si>
  <si>
    <t>Andika</t>
  </si>
  <si>
    <t>SHINE NGBS KB Bank System Maintenance</t>
  </si>
  <si>
    <t>#</t>
  </si>
  <si>
    <t>HLI</t>
  </si>
  <si>
    <t>Andini</t>
  </si>
  <si>
    <t>[Bank Sinarmas] Provision of Service of Card Management System</t>
  </si>
  <si>
    <t>GDC SF Solution Unit Quality DX Team Project 2025</t>
  </si>
  <si>
    <t>Sapta</t>
  </si>
  <si>
    <t>Job Portal</t>
  </si>
  <si>
    <t>Victor</t>
  </si>
  <si>
    <t>SMX01 Data Center MEP Project</t>
  </si>
  <si>
    <t>Sabian</t>
  </si>
  <si>
    <t>LG Ensol US System Maintenance Project</t>
  </si>
  <si>
    <t>Workload</t>
  </si>
  <si>
    <t>Inprogress</t>
  </si>
  <si>
    <t>Completed</t>
  </si>
  <si>
    <t>8 - 12 September 2025</t>
  </si>
  <si>
    <t>4 - 10 September 2025</t>
  </si>
  <si>
    <t>9 - 12 September 2025</t>
  </si>
  <si>
    <t>10 - 12 September 2025</t>
  </si>
  <si>
    <t>11 - 12 September 2025</t>
  </si>
  <si>
    <t>12 - 12 September 2025</t>
  </si>
  <si>
    <t>13 - 12 September 2025</t>
  </si>
  <si>
    <t>14 - 12 September 2025</t>
  </si>
  <si>
    <t>15 - 12 September 2025</t>
  </si>
  <si>
    <t>16 - 12 September 2025</t>
  </si>
  <si>
    <t>22 - 26 Sep 2025</t>
  </si>
  <si>
    <t>All assigned workload has been completed.</t>
  </si>
  <si>
    <t>18 - 24 Sep 2025</t>
  </si>
  <si>
    <t>Finish 7 Story, 20 task , and 2 defect already fixed</t>
  </si>
  <si>
    <t>27 SSR testing ticket already finish, 2 defect found already created ticket.</t>
  </si>
  <si>
    <t>1 ticket In Development status and resolved 3 bugs.</t>
  </si>
  <si>
    <t>Resolved 5 bugs. Completed 3 user stories. Finished 1 task and 4 sub-tasks.</t>
  </si>
  <si>
    <t>Exceeded the target</t>
  </si>
  <si>
    <t>22 - 26 September 2025</t>
  </si>
  <si>
    <t>18 - 24 September 2025</t>
  </si>
  <si>
    <t>29 Sep ~ 3 Oct 2025</t>
  </si>
  <si>
    <t>finish 14 task and solved 1 bug, 2 task still in progress</t>
  </si>
  <si>
    <t>25 Sep ~ 1 Oct 2025</t>
  </si>
  <si>
    <t xml:space="preserve">finish 2 story and 17 task </t>
  </si>
  <si>
    <t>finish 34 task and 2 story, and 9 are still in progress because each task has a heavy workload - some include more than 30 sub-tasks.</t>
  </si>
  <si>
    <t>finish 21 task and 6 story</t>
  </si>
  <si>
    <t>34 SSR ticket already finish and 4 ticket still in testing.
1 defect found and already created ticket.</t>
  </si>
  <si>
    <t>1 task in In Development status has a large workload.</t>
  </si>
  <si>
    <t>Resolved 4 bugs. Completed 2 user stories. Finished 1 sub-tasks.</t>
  </si>
  <si>
    <t>26 Sep ~ 2 Oct 2025</t>
  </si>
  <si>
    <t>[Cumulative]- Authorization/Common part : Plan = 72 | Actual = 77- Front part : Plan = 70 | Actual = 92- Back-end part : Plan = 73 | Actual = 72 (There was a delay in reflecting the brand incoming file due to work reference checks)Overall Progress = 37.8%</t>
  </si>
  <si>
    <t>6 Oct ~ 10 Oct 2025</t>
  </si>
  <si>
    <t>Finish 7 Task and resolved 19 defect</t>
  </si>
  <si>
    <t>2 Oct ~ 8 Oct 2025</t>
  </si>
  <si>
    <t>Finish 3 story and 19 task, no defect found</t>
  </si>
  <si>
    <t>Finish 105 Story, 27 task and solved 1 defect</t>
  </si>
  <si>
    <t>Finish [RMS] Simulating Validation from RMS Simulator</t>
  </si>
  <si>
    <t>Finish 21 Story, 21 task 10 task still in progress</t>
  </si>
  <si>
    <t>8 SSR tickets have been completed, 1 defect has been reported.
Notes: The number of tickets is lower this week due to the long holiday in Korea.</t>
  </si>
  <si>
    <t>Finish 36 Task, 1 task in In Development status, resolved 4 defect.</t>
  </si>
  <si>
    <t>The team is on standby, waiting for HR’s final requirements to start the next phase.</t>
  </si>
  <si>
    <t>[Bank Sinarmas] Provision of Card Management System Services</t>
  </si>
  <si>
    <t>3 Oct ~ 9 Oct 2025</t>
  </si>
  <si>
    <t>[Cumulative]
- Authorization/Common part : Plan = 76 | Actual = 83
- Front part : Plan = 89 | Actual = 92
- Back-end part : Plan = 73 | Actual = 81
Overall Progress = 37.8%</t>
  </si>
  <si>
    <t>13 ~ 17 Oct 2025</t>
  </si>
  <si>
    <t>Finish 2 task and resolved 8 defect</t>
  </si>
  <si>
    <t>9 ~ 15 Oct 2025</t>
  </si>
  <si>
    <t>Finish 16 Task and 1 Story, 2 Task still in progress</t>
  </si>
  <si>
    <t>Finish 105 Story, 23 Task. 1 defect already resolved</t>
  </si>
  <si>
    <t>Finish Manual - EIF Validation Simulation using RMS Simulator</t>
  </si>
  <si>
    <t>Finish 8 task and 4 story still in progress but due date 31-10-2025</t>
  </si>
  <si>
    <t>3 tasks In Development status are due at 31 October 2025</t>
  </si>
  <si>
    <t>We received the initial requirements from HR (Wilson) and held a kick-off meeting to align on scope. User stories have been drafted and will be reviewed before design approval. Development is expected to start in early November.</t>
  </si>
  <si>
    <t>10 ~ 16 Oct 2025</t>
  </si>
  <si>
    <t>[Cumulative]
- Authorization/Common part : Plan = 81 | Actual = 91
- Front part : Plan = 91 | Actual = 111
- Back-end part : Plan = 83 | Actual = 95
Overall Progress = 46.8%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</si>
</sst>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0"/>
      <color rgb="FF000000"/>
      <name val="Aptos Narrow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LG Smart_H Regular"/>
      <family val="2"/>
    </font>
    <font>
      <b/>
      <sz val="10"/>
      <color rgb="FF000000"/>
      <name val="LG Smart_H Regular"/>
      <family val="2"/>
    </font>
    <font>
      <sz val="10"/>
      <color rgb="FF000000"/>
      <name val="LG Smart_H Regular"/>
      <family val="2"/>
    </font>
    <font>
      <sz val="10"/>
      <color theme="1"/>
      <name val="LG Smart_H Regular"/>
      <family val="2"/>
    </font>
    <font>
      <b/>
      <sz val="11"/>
      <color theme="1"/>
      <name val="LG Smart_H Regular"/>
      <family val="2"/>
    </font>
    <font>
      <b/>
      <sz val="12"/>
      <color rgb="FF000000"/>
      <name val="LG Smart_H Regular"/>
      <family val="2"/>
    </font>
    <font>
      <sz val="12"/>
      <color rgb="FF000000"/>
      <name val="LG Smart_H Regular"/>
      <family val="2"/>
    </font>
    <font>
      <sz val="12"/>
      <color theme="1"/>
      <name val="LG Smart_H Regular"/>
      <family val="2"/>
    </font>
    <font>
      <sz val="12"/>
      <color rgb="FF000000"/>
      <name val="LG Smart_H Regular"/>
    </font>
    <font>
      <b/>
      <sz val="12"/>
      <color theme="1"/>
      <name val="LG Smart_H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right" vertical="center" wrapText="1" readingOrder="1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/>
    </xf>
    <xf numFmtId="9" fontId="7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4" fillId="0" borderId="2" xfId="0" applyFont="1" applyBorder="1" applyAlignment="1">
      <alignment horizontal="right" vertical="center" wrapText="1" readingOrder="1"/>
    </xf>
    <xf numFmtId="0" fontId="4" fillId="0" borderId="2" xfId="0" applyFont="1" applyBorder="1" applyAlignment="1">
      <alignment horizontal="center" vertical="center" wrapText="1"/>
    </xf>
    <xf numFmtId="9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9" fontId="7" fillId="0" borderId="2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 readingOrder="1"/>
    </xf>
    <xf numFmtId="0" fontId="4" fillId="0" borderId="3" xfId="0" applyFont="1" applyBorder="1" applyAlignment="1">
      <alignment horizontal="right" vertical="center" wrapText="1" readingOrder="1"/>
    </xf>
    <xf numFmtId="0" fontId="4" fillId="0" borderId="3" xfId="0" applyFont="1" applyBorder="1" applyAlignment="1">
      <alignment horizontal="center" vertical="center" wrapText="1"/>
    </xf>
    <xf numFmtId="9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right"/>
    </xf>
    <xf numFmtId="9" fontId="8" fillId="0" borderId="1" xfId="0" applyNumberFormat="1" applyFont="1" applyBorder="1" applyAlignment="1">
      <alignment horizontal="right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 readingOrder="1"/>
    </xf>
    <xf numFmtId="0" fontId="10" fillId="0" borderId="1" xfId="0" applyFont="1" applyBorder="1" applyAlignment="1">
      <alignment horizontal="right" vertical="center" wrapText="1" readingOrder="1"/>
    </xf>
    <xf numFmtId="0" fontId="10" fillId="0" borderId="1" xfId="0" applyFont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9" fontId="4" fillId="0" borderId="1" xfId="2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9" fontId="6" fillId="0" borderId="6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 readingOrder="1"/>
    </xf>
    <xf numFmtId="9" fontId="13" fillId="0" borderId="6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8" fillId="0" borderId="2" xfId="0" applyFont="1" applyBorder="1" applyAlignment="1">
      <alignment horizontal="right"/>
    </xf>
    <xf numFmtId="2" fontId="4" fillId="0" borderId="1" xfId="2" applyNumberFormat="1" applyFont="1" applyBorder="1" applyAlignment="1">
      <alignment horizontal="center" vertical="center" wrapText="1"/>
    </xf>
    <xf numFmtId="0" fontId="14" fillId="0" borderId="0" xfId="0" applyFont="1"/>
    <xf numFmtId="0" fontId="15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 readingOrder="1"/>
    </xf>
    <xf numFmtId="0" fontId="16" fillId="0" borderId="1" xfId="0" applyFont="1" applyBorder="1" applyAlignment="1">
      <alignment horizontal="center" vertical="center" wrapText="1" readingOrder="1"/>
    </xf>
    <xf numFmtId="0" fontId="16" fillId="0" borderId="1" xfId="0" applyFont="1" applyBorder="1" applyAlignment="1">
      <alignment horizontal="center" vertical="center" wrapText="1"/>
    </xf>
    <xf numFmtId="9" fontId="16" fillId="0" borderId="1" xfId="2" applyFont="1" applyBorder="1" applyAlignment="1">
      <alignment horizontal="center" vertical="center" wrapText="1"/>
    </xf>
    <xf numFmtId="0" fontId="16" fillId="0" borderId="1" xfId="2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2" fontId="16" fillId="0" borderId="1" xfId="2" applyNumberFormat="1" applyFont="1" applyBorder="1" applyAlignment="1">
      <alignment horizontal="center" vertical="center" wrapText="1"/>
    </xf>
    <xf numFmtId="9" fontId="16" fillId="0" borderId="10" xfId="2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 readingOrder="1"/>
    </xf>
    <xf numFmtId="0" fontId="16" fillId="0" borderId="3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center" vertical="center" wrapText="1" readingOrder="1"/>
    </xf>
    <xf numFmtId="0" fontId="16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wrapText="1"/>
    </xf>
    <xf numFmtId="9" fontId="18" fillId="0" borderId="6" xfId="0" applyNumberFormat="1" applyFont="1" applyBorder="1" applyAlignment="1">
      <alignment horizontal="center" vertical="center" wrapText="1"/>
    </xf>
    <xf numFmtId="2" fontId="18" fillId="0" borderId="6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wrapText="1"/>
    </xf>
    <xf numFmtId="0" fontId="19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 readingOrder="1"/>
    </xf>
    <xf numFmtId="0" fontId="20" fillId="0" borderId="1" xfId="0" applyFont="1" applyBorder="1" applyAlignment="1">
      <alignment horizontal="center" vertical="center" wrapText="1" readingOrder="1"/>
    </xf>
    <xf numFmtId="0" fontId="20" fillId="0" borderId="1" xfId="0" applyFont="1" applyBorder="1" applyAlignment="1">
      <alignment horizontal="center" vertical="center" wrapText="1"/>
    </xf>
    <xf numFmtId="9" fontId="20" fillId="0" borderId="1" xfId="2" applyFont="1" applyBorder="1" applyAlignment="1">
      <alignment horizontal="center" vertical="center" wrapText="1"/>
    </xf>
    <xf numFmtId="2" fontId="20" fillId="0" borderId="1" xfId="2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9" fontId="20" fillId="0" borderId="10" xfId="2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 readingOrder="1"/>
    </xf>
    <xf numFmtId="0" fontId="20" fillId="0" borderId="3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 wrapText="1"/>
    </xf>
    <xf numFmtId="9" fontId="23" fillId="0" borderId="6" xfId="0" applyNumberFormat="1" applyFont="1" applyBorder="1" applyAlignment="1">
      <alignment horizontal="center" vertical="center" wrapText="1"/>
    </xf>
    <xf numFmtId="2" fontId="23" fillId="0" borderId="6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wrapText="1"/>
    </xf>
    <xf numFmtId="0" fontId="20" fillId="0" borderId="1" xfId="0" applyFont="1" applyBorder="1" applyAlignment="1">
      <alignment horizontal="center" vertical="center"/>
    </xf>
    <xf numFmtId="9" fontId="20" fillId="0" borderId="1" xfId="2" applyFont="1" applyBorder="1" applyAlignment="1">
      <alignment horizontal="center" vertical="center"/>
    </xf>
    <xf numFmtId="2" fontId="20" fillId="0" borderId="1" xfId="2" applyNumberFormat="1" applyFont="1" applyBorder="1" applyAlignment="1">
      <alignment horizontal="center" vertical="center"/>
    </xf>
    <xf numFmtId="0" fontId="21" fillId="0" borderId="0" xfId="0" applyFont="1"/>
    <xf numFmtId="0" fontId="20" fillId="0" borderId="1" xfId="0" applyFont="1" applyBorder="1" applyAlignment="1">
      <alignment horizontal="left" vertical="center" readingOrder="1"/>
    </xf>
    <xf numFmtId="0" fontId="20" fillId="0" borderId="1" xfId="0" applyFont="1" applyBorder="1" applyAlignment="1">
      <alignment horizontal="right" vertical="center" readingOrder="1"/>
    </xf>
    <xf numFmtId="0" fontId="20" fillId="0" borderId="1" xfId="0" applyFont="1" applyBorder="1" applyAlignment="1">
      <alignment horizontal="left" vertical="center"/>
    </xf>
    <xf numFmtId="0" fontId="21" fillId="0" borderId="0" xfId="0" applyFont="1" applyAlignment="1">
      <alignment wrapText="1"/>
    </xf>
    <xf numFmtId="0" fontId="21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9" fontId="23" fillId="0" borderId="1" xfId="0" applyNumberFormat="1" applyFont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wrapText="1"/>
    </xf>
    <xf numFmtId="0" fontId="20" fillId="0" borderId="1" xfId="0" applyFont="1" applyBorder="1" applyAlignment="1">
      <alignment horizontal="right" vertical="center" wrapText="1" readingOrder="1"/>
    </xf>
    <xf numFmtId="0" fontId="23" fillId="0" borderId="1" xfId="0" applyFont="1" applyBorder="1" applyAlignment="1">
      <alignment horizontal="center" vertical="center" wrapText="1"/>
    </xf>
    <xf numFmtId="9" fontId="23" fillId="0" borderId="1" xfId="0" applyNumberFormat="1" applyFont="1" applyBorder="1" applyAlignment="1">
      <alignment horizontal="center" vertical="center" wrapText="1"/>
    </xf>
    <xf numFmtId="2" fontId="23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 readingOrder="1"/>
    </xf>
    <xf numFmtId="0" fontId="19" fillId="0" borderId="1" xfId="0" applyFont="1" applyBorder="1" applyAlignment="1">
      <alignment horizontal="center" vertical="center" readingOrder="1"/>
    </xf>
    <xf numFmtId="0" fontId="15" fillId="0" borderId="7" xfId="0" applyFont="1" applyBorder="1" applyAlignment="1">
      <alignment horizontal="center" vertical="center" wrapText="1" readingOrder="1"/>
    </xf>
    <xf numFmtId="0" fontId="15" fillId="0" borderId="8" xfId="0" applyFont="1" applyBorder="1" applyAlignment="1">
      <alignment horizontal="center" vertical="center" wrapText="1" readingOrder="1"/>
    </xf>
    <xf numFmtId="0" fontId="9" fillId="0" borderId="7" xfId="0" applyFont="1" applyBorder="1" applyAlignment="1">
      <alignment horizontal="center" vertical="center" wrapText="1" readingOrder="1"/>
    </xf>
    <xf numFmtId="0" fontId="9" fillId="0" borderId="8" xfId="0" applyFont="1" applyBorder="1" applyAlignment="1">
      <alignment horizontal="center" vertical="center" wrapText="1" readingOrder="1"/>
    </xf>
    <xf numFmtId="0" fontId="19" fillId="0" borderId="7" xfId="0" applyFont="1" applyBorder="1" applyAlignment="1">
      <alignment horizontal="center" vertical="center" wrapText="1" readingOrder="1"/>
    </xf>
    <xf numFmtId="0" fontId="19" fillId="0" borderId="8" xfId="0" applyFont="1" applyBorder="1" applyAlignment="1">
      <alignment horizontal="center" vertical="center" wrapText="1" readingOrder="1"/>
    </xf>
  </cellXfs>
  <cellStyles count="3">
    <cellStyle name="Comma [0] 2" xfId="1" xr:uid="{8B6F88F1-DA62-4DEB-97A4-FDB640D370B4}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2E77E"/>
      <color rgb="FFF779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Quality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Draft!$D$22</c:f>
              <c:strCache>
                <c:ptCount val="1"/>
                <c:pt idx="0">
                  <c:v>Total Workload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Draft!$B$23:$B$37</c:f>
              <c:strCache>
                <c:ptCount val="15"/>
                <c:pt idx="0">
                  <c:v>[LGUS] Purchasing Enhancement Project</c:v>
                </c:pt>
                <c:pt idx="1">
                  <c:v>GDC Smart Factory - SF Automation 2025</c:v>
                </c:pt>
                <c:pt idx="2">
                  <c:v>GDC Smart Factory - SF Core Unit 2025</c:v>
                </c:pt>
                <c:pt idx="3">
                  <c:v>GDC SF Intelligent Unit Testing Project</c:v>
                </c:pt>
                <c:pt idx="4">
                  <c:v>GDC Smart Factory - SF Manufacturing DX Team 2025</c:v>
                </c:pt>
                <c:pt idx="5">
                  <c:v>GDC Smart Factory - SF Process DX Team 2025</c:v>
                </c:pt>
                <c:pt idx="6">
                  <c:v>GDC SINGLEX Business Unit Testing Project</c:v>
                </c:pt>
                <c:pt idx="7">
                  <c:v>Network Installation for New Tobacco Factory of KT&amp;G </c:v>
                </c:pt>
                <c:pt idx="8">
                  <c:v>SHINE NGBS KB Bank System Maintenance</c:v>
                </c:pt>
                <c:pt idx="9">
                  <c:v>HLI</c:v>
                </c:pt>
                <c:pt idx="10">
                  <c:v>[Bank Sinarmas] Provision of Service of Card Management System</c:v>
                </c:pt>
                <c:pt idx="11">
                  <c:v>GDC SF Solution Unit Quality DX Team Project 2025</c:v>
                </c:pt>
                <c:pt idx="12">
                  <c:v>Job Portal</c:v>
                </c:pt>
                <c:pt idx="13">
                  <c:v>SMX01 Data Center MEP Project</c:v>
                </c:pt>
                <c:pt idx="14">
                  <c:v>LG Ensol US System Maintenance Project</c:v>
                </c:pt>
              </c:strCache>
            </c:strRef>
          </c:cat>
          <c:val>
            <c:numRef>
              <c:f>Draft!$D$23:$D$37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9D8F-4FD1-8F0B-8D1BFD0FDD4A}"/>
            </c:ext>
          </c:extLst>
        </c:ser>
        <c:ser>
          <c:idx val="1"/>
          <c:order val="1"/>
          <c:tx>
            <c:strRef>
              <c:f>Draft!$E$22</c:f>
              <c:strCache>
                <c:ptCount val="1"/>
                <c:pt idx="0">
                  <c:v>Completed Workload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Draft!$B$23:$B$37</c:f>
              <c:strCache>
                <c:ptCount val="15"/>
                <c:pt idx="0">
                  <c:v>[LGUS] Purchasing Enhancement Project</c:v>
                </c:pt>
                <c:pt idx="1">
                  <c:v>GDC Smart Factory - SF Automation 2025</c:v>
                </c:pt>
                <c:pt idx="2">
                  <c:v>GDC Smart Factory - SF Core Unit 2025</c:v>
                </c:pt>
                <c:pt idx="3">
                  <c:v>GDC SF Intelligent Unit Testing Project</c:v>
                </c:pt>
                <c:pt idx="4">
                  <c:v>GDC Smart Factory - SF Manufacturing DX Team 2025</c:v>
                </c:pt>
                <c:pt idx="5">
                  <c:v>GDC Smart Factory - SF Process DX Team 2025</c:v>
                </c:pt>
                <c:pt idx="6">
                  <c:v>GDC SINGLEX Business Unit Testing Project</c:v>
                </c:pt>
                <c:pt idx="7">
                  <c:v>Network Installation for New Tobacco Factory of KT&amp;G </c:v>
                </c:pt>
                <c:pt idx="8">
                  <c:v>SHINE NGBS KB Bank System Maintenance</c:v>
                </c:pt>
                <c:pt idx="9">
                  <c:v>HLI</c:v>
                </c:pt>
                <c:pt idx="10">
                  <c:v>[Bank Sinarmas] Provision of Service of Card Management System</c:v>
                </c:pt>
                <c:pt idx="11">
                  <c:v>GDC SF Solution Unit Quality DX Team Project 2025</c:v>
                </c:pt>
                <c:pt idx="12">
                  <c:v>Job Portal</c:v>
                </c:pt>
                <c:pt idx="13">
                  <c:v>SMX01 Data Center MEP Project</c:v>
                </c:pt>
                <c:pt idx="14">
                  <c:v>LG Ensol US System Maintenance Project</c:v>
                </c:pt>
              </c:strCache>
            </c:strRef>
          </c:cat>
          <c:val>
            <c:numRef>
              <c:f>Draft!$E$23:$E$37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9D8F-4FD1-8F0B-8D1BFD0FDD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49841999"/>
        <c:axId val="1849859759"/>
      </c:barChart>
      <c:catAx>
        <c:axId val="184984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859759"/>
        <c:crosses val="autoZero"/>
        <c:auto val="1"/>
        <c:lblAlgn val="ctr"/>
        <c:lblOffset val="100"/>
        <c:noMultiLvlLbl val="0"/>
      </c:catAx>
      <c:valAx>
        <c:axId val="18498597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4984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Quality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Test!$D$22</c:f>
              <c:strCache>
                <c:ptCount val="1"/>
                <c:pt idx="0">
                  <c:v>Workload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Test!$B$23:$B$37</c:f>
              <c:strCache>
                <c:ptCount val="15"/>
                <c:pt idx="0">
                  <c:v>[LGUS] Purchasing Enhancement Project</c:v>
                </c:pt>
                <c:pt idx="1">
                  <c:v>GDC Smart Factory - SF Automation 2025</c:v>
                </c:pt>
                <c:pt idx="2">
                  <c:v>GDC Smart Factory - SF Core Unit 2025</c:v>
                </c:pt>
                <c:pt idx="3">
                  <c:v>GDC SF Intelligent Unit Testing Project</c:v>
                </c:pt>
                <c:pt idx="4">
                  <c:v>GDC Smart Factory - SF Manufacturing DX Team 2025</c:v>
                </c:pt>
                <c:pt idx="5">
                  <c:v>GDC Smart Factory - SF Process DX Team 2025</c:v>
                </c:pt>
                <c:pt idx="6">
                  <c:v>GDC SINGLEX Business Unit Testing Project</c:v>
                </c:pt>
                <c:pt idx="7">
                  <c:v>Network Installation for New Tobacco Factory of KT&amp;G </c:v>
                </c:pt>
                <c:pt idx="8">
                  <c:v>SHINE NGBS KB Bank System Maintenance</c:v>
                </c:pt>
                <c:pt idx="9">
                  <c:v>HLI</c:v>
                </c:pt>
                <c:pt idx="10">
                  <c:v>[Bank Sinarmas] Provision of Service of Card Management System</c:v>
                </c:pt>
                <c:pt idx="11">
                  <c:v>GDC SF Solution Unit Quality DX Team Project 2025</c:v>
                </c:pt>
                <c:pt idx="12">
                  <c:v>Job Portal</c:v>
                </c:pt>
                <c:pt idx="13">
                  <c:v>SMX01 Data Center MEP Project</c:v>
                </c:pt>
                <c:pt idx="14">
                  <c:v>LG Ensol US System Maintenance Project</c:v>
                </c:pt>
              </c:strCache>
            </c:strRef>
          </c:cat>
          <c:val>
            <c:numRef>
              <c:f>Test!$D$23:$D$37</c:f>
              <c:numCache>
                <c:formatCode>General</c:formatCode>
                <c:ptCount val="15"/>
                <c:pt idx="0">
                  <c:v>58</c:v>
                </c:pt>
                <c:pt idx="1">
                  <c:v>62</c:v>
                </c:pt>
                <c:pt idx="2">
                  <c:v>100</c:v>
                </c:pt>
                <c:pt idx="3">
                  <c:v>84</c:v>
                </c:pt>
                <c:pt idx="4">
                  <c:v>93</c:v>
                </c:pt>
                <c:pt idx="5">
                  <c:v>87</c:v>
                </c:pt>
                <c:pt idx="6">
                  <c:v>76</c:v>
                </c:pt>
                <c:pt idx="7">
                  <c:v>71</c:v>
                </c:pt>
                <c:pt idx="8">
                  <c:v>70</c:v>
                </c:pt>
                <c:pt idx="9">
                  <c:v>53</c:v>
                </c:pt>
                <c:pt idx="10">
                  <c:v>58</c:v>
                </c:pt>
                <c:pt idx="11">
                  <c:v>77</c:v>
                </c:pt>
                <c:pt idx="12">
                  <c:v>55</c:v>
                </c:pt>
                <c:pt idx="13">
                  <c:v>72</c:v>
                </c:pt>
                <c:pt idx="14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5-4BE2-B3D6-696175738C5F}"/>
            </c:ext>
          </c:extLst>
        </c:ser>
        <c:ser>
          <c:idx val="1"/>
          <c:order val="1"/>
          <c:tx>
            <c:strRef>
              <c:f>Test!$F$22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Test!$B$23:$B$37</c:f>
              <c:strCache>
                <c:ptCount val="15"/>
                <c:pt idx="0">
                  <c:v>[LGUS] Purchasing Enhancement Project</c:v>
                </c:pt>
                <c:pt idx="1">
                  <c:v>GDC Smart Factory - SF Automation 2025</c:v>
                </c:pt>
                <c:pt idx="2">
                  <c:v>GDC Smart Factory - SF Core Unit 2025</c:v>
                </c:pt>
                <c:pt idx="3">
                  <c:v>GDC SF Intelligent Unit Testing Project</c:v>
                </c:pt>
                <c:pt idx="4">
                  <c:v>GDC Smart Factory - SF Manufacturing DX Team 2025</c:v>
                </c:pt>
                <c:pt idx="5">
                  <c:v>GDC Smart Factory - SF Process DX Team 2025</c:v>
                </c:pt>
                <c:pt idx="6">
                  <c:v>GDC SINGLEX Business Unit Testing Project</c:v>
                </c:pt>
                <c:pt idx="7">
                  <c:v>Network Installation for New Tobacco Factory of KT&amp;G </c:v>
                </c:pt>
                <c:pt idx="8">
                  <c:v>SHINE NGBS KB Bank System Maintenance</c:v>
                </c:pt>
                <c:pt idx="9">
                  <c:v>HLI</c:v>
                </c:pt>
                <c:pt idx="10">
                  <c:v>[Bank Sinarmas] Provision of Service of Card Management System</c:v>
                </c:pt>
                <c:pt idx="11">
                  <c:v>GDC SF Solution Unit Quality DX Team Project 2025</c:v>
                </c:pt>
                <c:pt idx="12">
                  <c:v>Job Portal</c:v>
                </c:pt>
                <c:pt idx="13">
                  <c:v>SMX01 Data Center MEP Project</c:v>
                </c:pt>
                <c:pt idx="14">
                  <c:v>LG Ensol US System Maintenance Project</c:v>
                </c:pt>
              </c:strCache>
            </c:strRef>
          </c:cat>
          <c:val>
            <c:numRef>
              <c:f>Test!$F$23:$F$37</c:f>
              <c:numCache>
                <c:formatCode>General</c:formatCode>
                <c:ptCount val="15"/>
                <c:pt idx="0">
                  <c:v>-4</c:v>
                </c:pt>
                <c:pt idx="1">
                  <c:v>8</c:v>
                </c:pt>
                <c:pt idx="2">
                  <c:v>46</c:v>
                </c:pt>
                <c:pt idx="3">
                  <c:v>26</c:v>
                </c:pt>
                <c:pt idx="4">
                  <c:v>28</c:v>
                </c:pt>
                <c:pt idx="5">
                  <c:v>20</c:v>
                </c:pt>
                <c:pt idx="6">
                  <c:v>0</c:v>
                </c:pt>
                <c:pt idx="7">
                  <c:v>-7</c:v>
                </c:pt>
                <c:pt idx="8">
                  <c:v>-3</c:v>
                </c:pt>
                <c:pt idx="9">
                  <c:v>-1</c:v>
                </c:pt>
                <c:pt idx="10">
                  <c:v>-6</c:v>
                </c:pt>
                <c:pt idx="11">
                  <c:v>2</c:v>
                </c:pt>
                <c:pt idx="12">
                  <c:v>-10</c:v>
                </c:pt>
                <c:pt idx="13">
                  <c:v>-3</c:v>
                </c:pt>
                <c:pt idx="14">
                  <c:v>-20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25-4BE2-B3D6-696175738C5F}"/>
            </c:ext>
          </c:extLst>
        </c:ser>
        <c:ser>
          <c:idx val="2"/>
          <c:order val="2"/>
          <c:tx>
            <c:strRef>
              <c:f>Test!$E$22</c:f>
              <c:strCache>
                <c:ptCount val="1"/>
                <c:pt idx="0">
                  <c:v>Inprogress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Test!$B$23:$B$37</c:f>
              <c:strCache>
                <c:ptCount val="15"/>
                <c:pt idx="0">
                  <c:v>[LGUS] Purchasing Enhancement Project</c:v>
                </c:pt>
                <c:pt idx="1">
                  <c:v>GDC Smart Factory - SF Automation 2025</c:v>
                </c:pt>
                <c:pt idx="2">
                  <c:v>GDC Smart Factory - SF Core Unit 2025</c:v>
                </c:pt>
                <c:pt idx="3">
                  <c:v>GDC SF Intelligent Unit Testing Project</c:v>
                </c:pt>
                <c:pt idx="4">
                  <c:v>GDC Smart Factory - SF Manufacturing DX Team 2025</c:v>
                </c:pt>
                <c:pt idx="5">
                  <c:v>GDC Smart Factory - SF Process DX Team 2025</c:v>
                </c:pt>
                <c:pt idx="6">
                  <c:v>GDC SINGLEX Business Unit Testing Project</c:v>
                </c:pt>
                <c:pt idx="7">
                  <c:v>Network Installation for New Tobacco Factory of KT&amp;G </c:v>
                </c:pt>
                <c:pt idx="8">
                  <c:v>SHINE NGBS KB Bank System Maintenance</c:v>
                </c:pt>
                <c:pt idx="9">
                  <c:v>HLI</c:v>
                </c:pt>
                <c:pt idx="10">
                  <c:v>[Bank Sinarmas] Provision of Service of Card Management System</c:v>
                </c:pt>
                <c:pt idx="11">
                  <c:v>GDC SF Solution Unit Quality DX Team Project 2025</c:v>
                </c:pt>
                <c:pt idx="12">
                  <c:v>Job Portal</c:v>
                </c:pt>
                <c:pt idx="13">
                  <c:v>SMX01 Data Center MEP Project</c:v>
                </c:pt>
                <c:pt idx="14">
                  <c:v>LG Ensol US System Maintenance Project</c:v>
                </c:pt>
              </c:strCache>
            </c:strRef>
          </c:cat>
          <c:val>
            <c:numRef>
              <c:f>Test!$E$23:$E$37</c:f>
              <c:numCache>
                <c:formatCode>General</c:formatCode>
                <c:ptCount val="15"/>
                <c:pt idx="0">
                  <c:v>62</c:v>
                </c:pt>
                <c:pt idx="1">
                  <c:v>54</c:v>
                </c:pt>
                <c:pt idx="2">
                  <c:v>54</c:v>
                </c:pt>
                <c:pt idx="3">
                  <c:v>58</c:v>
                </c:pt>
                <c:pt idx="4">
                  <c:v>65</c:v>
                </c:pt>
                <c:pt idx="5">
                  <c:v>67</c:v>
                </c:pt>
                <c:pt idx="6">
                  <c:v>76</c:v>
                </c:pt>
                <c:pt idx="7">
                  <c:v>78</c:v>
                </c:pt>
                <c:pt idx="8">
                  <c:v>73</c:v>
                </c:pt>
                <c:pt idx="9">
                  <c:v>54</c:v>
                </c:pt>
                <c:pt idx="10">
                  <c:v>64</c:v>
                </c:pt>
                <c:pt idx="11">
                  <c:v>75</c:v>
                </c:pt>
                <c:pt idx="12">
                  <c:v>65</c:v>
                </c:pt>
                <c:pt idx="13">
                  <c:v>75</c:v>
                </c:pt>
                <c:pt idx="14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93-498A-8A49-D5C0E00F08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49841999"/>
        <c:axId val="1849859759"/>
      </c:barChart>
      <c:catAx>
        <c:axId val="184984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859759"/>
        <c:crosses val="autoZero"/>
        <c:auto val="1"/>
        <c:lblAlgn val="ctr"/>
        <c:lblOffset val="100"/>
        <c:noMultiLvlLbl val="0"/>
      </c:catAx>
      <c:valAx>
        <c:axId val="18498597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4984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Quality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'Draft V.2'!$H$22</c:f>
              <c:strCache>
                <c:ptCount val="1"/>
                <c:pt idx="0">
                  <c:v>Productivity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'Draft V.2'!$B$23:$B$31</c:f>
              <c:strCache>
                <c:ptCount val="9"/>
                <c:pt idx="0">
                  <c:v>Purchasing Enhancement Project</c:v>
                </c:pt>
                <c:pt idx="1">
                  <c:v>SF Automation 2025</c:v>
                </c:pt>
                <c:pt idx="2">
                  <c:v>SF Core Unit 2025</c:v>
                </c:pt>
                <c:pt idx="3">
                  <c:v>SF Manufacture DX Team 2025</c:v>
                </c:pt>
                <c:pt idx="4">
                  <c:v>SF Process DX Team 2025</c:v>
                </c:pt>
                <c:pt idx="5">
                  <c:v>SINGLEX Business Unit Testing Project</c:v>
                </c:pt>
                <c:pt idx="6">
                  <c:v>KB Bank System Maintenance</c:v>
                </c:pt>
                <c:pt idx="7">
                  <c:v>LGSM Career Job Portal</c:v>
                </c:pt>
                <c:pt idx="8">
                  <c:v>Bank Sinarmas Project</c:v>
                </c:pt>
              </c:strCache>
            </c:strRef>
          </c:cat>
          <c:val>
            <c:numRef>
              <c:f>'Draft V.2'!$H$23:$H$31</c:f>
              <c:numCache>
                <c:formatCode>0%</c:formatCode>
                <c:ptCount val="9"/>
                <c:pt idx="0">
                  <c:v>2</c:v>
                </c:pt>
                <c:pt idx="1">
                  <c:v>0.9</c:v>
                </c:pt>
                <c:pt idx="2">
                  <c:v>1</c:v>
                </c:pt>
                <c:pt idx="3">
                  <c:v>0.9</c:v>
                </c:pt>
                <c:pt idx="4">
                  <c:v>2.25</c:v>
                </c:pt>
                <c:pt idx="5">
                  <c:v>1</c:v>
                </c:pt>
                <c:pt idx="6">
                  <c:v>5</c:v>
                </c:pt>
                <c:pt idx="7">
                  <c:v>0.7142857142857143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0-4374-9589-E1689ECB62E3}"/>
            </c:ext>
          </c:extLst>
        </c:ser>
        <c:ser>
          <c:idx val="3"/>
          <c:order val="3"/>
          <c:tx>
            <c:strRef>
              <c:f>'Draft V.2'!$I$22</c:f>
              <c:strCache>
                <c:ptCount val="1"/>
                <c:pt idx="0">
                  <c:v>Defect Density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'Draft V.2'!$B$23:$B$31</c:f>
              <c:strCache>
                <c:ptCount val="9"/>
                <c:pt idx="0">
                  <c:v>Purchasing Enhancement Project</c:v>
                </c:pt>
                <c:pt idx="1">
                  <c:v>SF Automation 2025</c:v>
                </c:pt>
                <c:pt idx="2">
                  <c:v>SF Core Unit 2025</c:v>
                </c:pt>
                <c:pt idx="3">
                  <c:v>SF Manufacture DX Team 2025</c:v>
                </c:pt>
                <c:pt idx="4">
                  <c:v>SF Process DX Team 2025</c:v>
                </c:pt>
                <c:pt idx="5">
                  <c:v>SINGLEX Business Unit Testing Project</c:v>
                </c:pt>
                <c:pt idx="6">
                  <c:v>KB Bank System Maintenance</c:v>
                </c:pt>
                <c:pt idx="7">
                  <c:v>LGSM Career Job Portal</c:v>
                </c:pt>
                <c:pt idx="8">
                  <c:v>Bank Sinarmas Project</c:v>
                </c:pt>
              </c:strCache>
            </c:strRef>
          </c:cat>
          <c:val>
            <c:numRef>
              <c:f>'Draft V.2'!$I$23:$I$31</c:f>
              <c:numCache>
                <c:formatCode>0.00</c:formatCode>
                <c:ptCount val="9"/>
                <c:pt idx="0">
                  <c:v>2.4</c:v>
                </c:pt>
                <c:pt idx="1">
                  <c:v>6</c:v>
                </c:pt>
                <c:pt idx="2">
                  <c:v>10.571428571428571</c:v>
                </c:pt>
                <c:pt idx="3">
                  <c:v>2.8888888888888888</c:v>
                </c:pt>
                <c:pt idx="4">
                  <c:v>0.77777777777777779</c:v>
                </c:pt>
                <c:pt idx="5">
                  <c:v>6.4285714285714288</c:v>
                </c:pt>
                <c:pt idx="6">
                  <c:v>2.6</c:v>
                </c:pt>
                <c:pt idx="7">
                  <c:v>13.4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F0-4374-9589-E1689ECB62E3}"/>
            </c:ext>
          </c:extLst>
        </c:ser>
        <c:ser>
          <c:idx val="4"/>
          <c:order val="4"/>
          <c:tx>
            <c:strRef>
              <c:f>'Draft V.2'!$J$22</c:f>
              <c:strCache>
                <c:ptCount val="1"/>
                <c:pt idx="0">
                  <c:v>Defect Correction Rate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'Draft V.2'!$B$23:$B$31</c:f>
              <c:strCache>
                <c:ptCount val="9"/>
                <c:pt idx="0">
                  <c:v>Purchasing Enhancement Project</c:v>
                </c:pt>
                <c:pt idx="1">
                  <c:v>SF Automation 2025</c:v>
                </c:pt>
                <c:pt idx="2">
                  <c:v>SF Core Unit 2025</c:v>
                </c:pt>
                <c:pt idx="3">
                  <c:v>SF Manufacture DX Team 2025</c:v>
                </c:pt>
                <c:pt idx="4">
                  <c:v>SF Process DX Team 2025</c:v>
                </c:pt>
                <c:pt idx="5">
                  <c:v>SINGLEX Business Unit Testing Project</c:v>
                </c:pt>
                <c:pt idx="6">
                  <c:v>KB Bank System Maintenance</c:v>
                </c:pt>
                <c:pt idx="7">
                  <c:v>LGSM Career Job Portal</c:v>
                </c:pt>
                <c:pt idx="8">
                  <c:v>Bank Sinarmas Project</c:v>
                </c:pt>
              </c:strCache>
            </c:strRef>
          </c:cat>
          <c:val>
            <c:numRef>
              <c:f>'Draft V.2'!$J$23:$J$31</c:f>
              <c:numCache>
                <c:formatCode>0%</c:formatCode>
                <c:ptCount val="9"/>
                <c:pt idx="0">
                  <c:v>0.16666666666666666</c:v>
                </c:pt>
                <c:pt idx="1">
                  <c:v>1.3518518518518519</c:v>
                </c:pt>
                <c:pt idx="2">
                  <c:v>1.2432432432432432</c:v>
                </c:pt>
                <c:pt idx="3">
                  <c:v>0.5</c:v>
                </c:pt>
                <c:pt idx="4">
                  <c:v>3.1428571428571428</c:v>
                </c:pt>
                <c:pt idx="5">
                  <c:v>1.3555555555555556</c:v>
                </c:pt>
                <c:pt idx="6">
                  <c:v>3.3461538461538463</c:v>
                </c:pt>
                <c:pt idx="7">
                  <c:v>0.88059701492537312</c:v>
                </c:pt>
                <c:pt idx="8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F0-4374-9589-E1689ECB62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49841999"/>
        <c:axId val="184985975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'Draft V.2'!$D$22</c15:sqref>
                        </c15:formulaRef>
                      </c:ext>
                    </c:extLst>
                    <c:strCache>
                      <c:ptCount val="1"/>
                      <c:pt idx="0">
                        <c:v>Total Workload (Planned)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'Draft V.2'!$B$23:$B$31</c15:sqref>
                        </c15:formulaRef>
                      </c:ext>
                    </c:extLst>
                    <c:strCache>
                      <c:ptCount val="9"/>
                      <c:pt idx="0">
                        <c:v>Purchasing Enhancement Project</c:v>
                      </c:pt>
                      <c:pt idx="1">
                        <c:v>SF Automation 2025</c:v>
                      </c:pt>
                      <c:pt idx="2">
                        <c:v>SF Core Unit 2025</c:v>
                      </c:pt>
                      <c:pt idx="3">
                        <c:v>SF Manufacture DX Team 2025</c:v>
                      </c:pt>
                      <c:pt idx="4">
                        <c:v>SF Process DX Team 2025</c:v>
                      </c:pt>
                      <c:pt idx="5">
                        <c:v>SINGLEX Business Unit Testing Project</c:v>
                      </c:pt>
                      <c:pt idx="6">
                        <c:v>KB Bank System Maintenance</c:v>
                      </c:pt>
                      <c:pt idx="7">
                        <c:v>LGSM Career Job Portal</c:v>
                      </c:pt>
                      <c:pt idx="8">
                        <c:v>Bank Sinarmas Project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'Draft V.2'!$D$23:$D$31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5</c:v>
                      </c:pt>
                      <c:pt idx="1">
                        <c:v>10</c:v>
                      </c:pt>
                      <c:pt idx="2">
                        <c:v>7</c:v>
                      </c:pt>
                      <c:pt idx="3">
                        <c:v>10</c:v>
                      </c:pt>
                      <c:pt idx="4">
                        <c:v>4</c:v>
                      </c:pt>
                      <c:pt idx="5">
                        <c:v>7</c:v>
                      </c:pt>
                      <c:pt idx="6">
                        <c:v>2</c:v>
                      </c:pt>
                      <c:pt idx="7">
                        <c:v>7</c:v>
                      </c:pt>
                      <c:pt idx="8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CAF0-4374-9589-E1689ECB62E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'Draft V.2'!$E$22</c15:sqref>
                        </c15:formulaRef>
                      </c:ext>
                    </c:extLst>
                    <c:strCache>
                      <c:ptCount val="1"/>
                      <c:pt idx="0">
                        <c:v>Completed Workload (Actual)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'Draft V.2'!$B$23:$B$31</c15:sqref>
                        </c15:formulaRef>
                      </c:ext>
                    </c:extLst>
                    <c:strCache>
                      <c:ptCount val="9"/>
                      <c:pt idx="0">
                        <c:v>Purchasing Enhancement Project</c:v>
                      </c:pt>
                      <c:pt idx="1">
                        <c:v>SF Automation 2025</c:v>
                      </c:pt>
                      <c:pt idx="2">
                        <c:v>SF Core Unit 2025</c:v>
                      </c:pt>
                      <c:pt idx="3">
                        <c:v>SF Manufacture DX Team 2025</c:v>
                      </c:pt>
                      <c:pt idx="4">
                        <c:v>SF Process DX Team 2025</c:v>
                      </c:pt>
                      <c:pt idx="5">
                        <c:v>SINGLEX Business Unit Testing Project</c:v>
                      </c:pt>
                      <c:pt idx="6">
                        <c:v>KB Bank System Maintenance</c:v>
                      </c:pt>
                      <c:pt idx="7">
                        <c:v>LGSM Career Job Portal</c:v>
                      </c:pt>
                      <c:pt idx="8">
                        <c:v>Bank Sinarmas Project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'Draft V.2'!$E$23:$E$31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10</c:v>
                      </c:pt>
                      <c:pt idx="1">
                        <c:v>9</c:v>
                      </c:pt>
                      <c:pt idx="2">
                        <c:v>7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7</c:v>
                      </c:pt>
                      <c:pt idx="6">
                        <c:v>10</c:v>
                      </c:pt>
                      <c:pt idx="7">
                        <c:v>5</c:v>
                      </c:pt>
                      <c:pt idx="8">
                        <c:v>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AF0-4374-9589-E1689ECB62E3}"/>
                  </c:ext>
                </c:extLst>
              </c15:ser>
            </c15:filteredBarSeries>
          </c:ext>
        </c:extLst>
      </c:barChart>
      <c:catAx>
        <c:axId val="184984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859759"/>
        <c:crosses val="autoZero"/>
        <c:auto val="1"/>
        <c:lblAlgn val="ctr"/>
        <c:lblOffset val="100"/>
        <c:noMultiLvlLbl val="0"/>
      </c:catAx>
      <c:valAx>
        <c:axId val="1849859759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84984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123825</xdr:rowOff>
    </xdr:from>
    <xdr:to>
      <xdr:col>13</xdr:col>
      <xdr:colOff>523875</xdr:colOff>
      <xdr:row>20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3BB4D2-D4C8-4F3D-83C7-318C10934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</xdr:row>
      <xdr:rowOff>121104</xdr:rowOff>
    </xdr:from>
    <xdr:to>
      <xdr:col>12</xdr:col>
      <xdr:colOff>576943</xdr:colOff>
      <xdr:row>19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4ADBD-1E26-4EAE-9CC5-E145F0BE2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</xdr:row>
      <xdr:rowOff>142876</xdr:rowOff>
    </xdr:from>
    <xdr:to>
      <xdr:col>11</xdr:col>
      <xdr:colOff>0</xdr:colOff>
      <xdr:row>19</xdr:row>
      <xdr:rowOff>183697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C8A5C00-3D6B-4510-A3E9-5DC884D25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ECF8D-56DF-49FC-8315-AD2C5F363D87}">
  <sheetPr>
    <tabColor theme="7"/>
  </sheetPr>
  <dimension ref="A1:J9"/>
  <sheetViews>
    <sheetView workbookViewId="0">
      <selection activeCell="F3" sqref="F3"/>
    </sheetView>
  </sheetViews>
  <sheetFormatPr defaultColWidth="9.15234375" defaultRowHeight="15" x14ac:dyDescent="0.35"/>
  <cols>
    <col min="1" max="1" width="28.3828125" style="82" bestFit="1" customWidth="1"/>
    <col min="2" max="2" width="16.15234375" style="82" bestFit="1" customWidth="1"/>
    <col min="3" max="3" width="9.53515625" style="82" bestFit="1" customWidth="1"/>
    <col min="4" max="4" width="10.15234375" style="82" bestFit="1" customWidth="1"/>
    <col min="5" max="5" width="8.3046875" style="82" bestFit="1" customWidth="1"/>
    <col min="6" max="6" width="14.84375" style="82" bestFit="1" customWidth="1"/>
    <col min="7" max="7" width="9" style="82" bestFit="1" customWidth="1"/>
    <col min="8" max="8" width="8.53515625" style="82" bestFit="1" customWidth="1"/>
    <col min="9" max="9" width="8.69140625" style="82" bestFit="1" customWidth="1"/>
    <col min="10" max="10" width="29.84375" style="82" customWidth="1"/>
    <col min="11" max="16384" width="9.15234375" style="82"/>
  </cols>
  <sheetData>
    <row r="1" spans="1:10" ht="75" x14ac:dyDescent="0.35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</row>
    <row r="2" spans="1:10" ht="93" customHeight="1" x14ac:dyDescent="0.35">
      <c r="A2" s="64" t="s">
        <v>10</v>
      </c>
      <c r="B2" s="93" t="s">
        <v>11</v>
      </c>
      <c r="C2" s="66">
        <v>5</v>
      </c>
      <c r="D2" s="66">
        <v>5</v>
      </c>
      <c r="E2" s="66">
        <v>0</v>
      </c>
      <c r="F2" s="66">
        <v>0</v>
      </c>
      <c r="G2" s="67">
        <f>IFERROR(D2/C2,"N/A")</f>
        <v>1</v>
      </c>
      <c r="H2" s="68">
        <f t="shared" ref="G2:I8" si="0">IFERROR(E2/D2,"N/A")</f>
        <v>0</v>
      </c>
      <c r="I2" s="67" t="str">
        <f t="shared" si="0"/>
        <v>N/A</v>
      </c>
      <c r="J2" s="64" t="s">
        <v>12</v>
      </c>
    </row>
    <row r="3" spans="1:10" ht="93" customHeight="1" x14ac:dyDescent="0.35">
      <c r="A3" s="64" t="s">
        <v>13</v>
      </c>
      <c r="B3" s="93" t="s">
        <v>14</v>
      </c>
      <c r="C3" s="66">
        <v>9</v>
      </c>
      <c r="D3" s="66">
        <v>8</v>
      </c>
      <c r="E3" s="66">
        <v>0</v>
      </c>
      <c r="F3" s="66">
        <v>0</v>
      </c>
      <c r="G3" s="67">
        <f t="shared" si="0"/>
        <v>0.88888888888888884</v>
      </c>
      <c r="H3" s="68">
        <f t="shared" si="0"/>
        <v>0</v>
      </c>
      <c r="I3" s="67" t="str">
        <f t="shared" si="0"/>
        <v>N/A</v>
      </c>
      <c r="J3" s="69" t="s">
        <v>15</v>
      </c>
    </row>
    <row r="4" spans="1:10" ht="93" customHeight="1" x14ac:dyDescent="0.35">
      <c r="A4" s="64" t="s">
        <v>16</v>
      </c>
      <c r="B4" s="93" t="s">
        <v>14</v>
      </c>
      <c r="C4" s="66">
        <v>11</v>
      </c>
      <c r="D4" s="66">
        <v>11</v>
      </c>
      <c r="E4" s="66">
        <v>1</v>
      </c>
      <c r="F4" s="66">
        <v>1</v>
      </c>
      <c r="G4" s="67">
        <f t="shared" si="0"/>
        <v>1</v>
      </c>
      <c r="H4" s="68">
        <f t="shared" si="0"/>
        <v>9.0909090909090912E-2</v>
      </c>
      <c r="I4" s="67">
        <f t="shared" si="0"/>
        <v>1</v>
      </c>
      <c r="J4" s="64" t="s">
        <v>17</v>
      </c>
    </row>
    <row r="5" spans="1:10" ht="93" customHeight="1" x14ac:dyDescent="0.35">
      <c r="A5" s="64" t="s">
        <v>18</v>
      </c>
      <c r="B5" s="93" t="s">
        <v>14</v>
      </c>
      <c r="C5" s="66">
        <v>4</v>
      </c>
      <c r="D5" s="66">
        <v>3</v>
      </c>
      <c r="E5" s="66">
        <v>0</v>
      </c>
      <c r="F5" s="66">
        <v>0</v>
      </c>
      <c r="G5" s="67">
        <f t="shared" si="0"/>
        <v>0.75</v>
      </c>
      <c r="H5" s="68">
        <f t="shared" si="0"/>
        <v>0</v>
      </c>
      <c r="I5" s="67" t="str">
        <f t="shared" si="0"/>
        <v>N/A</v>
      </c>
      <c r="J5" s="64" t="s">
        <v>19</v>
      </c>
    </row>
    <row r="6" spans="1:10" ht="93" customHeight="1" x14ac:dyDescent="0.35">
      <c r="A6" s="64" t="s">
        <v>20</v>
      </c>
      <c r="B6" s="93" t="s">
        <v>14</v>
      </c>
      <c r="C6" s="66">
        <v>26</v>
      </c>
      <c r="D6" s="66">
        <v>25</v>
      </c>
      <c r="E6" s="66">
        <v>0</v>
      </c>
      <c r="F6" s="66">
        <v>0</v>
      </c>
      <c r="G6" s="67">
        <f t="shared" si="0"/>
        <v>0.96153846153846156</v>
      </c>
      <c r="H6" s="68">
        <f t="shared" si="0"/>
        <v>0</v>
      </c>
      <c r="I6" s="67" t="str">
        <f t="shared" si="0"/>
        <v>N/A</v>
      </c>
      <c r="J6" s="64" t="s">
        <v>21</v>
      </c>
    </row>
    <row r="7" spans="1:10" ht="93" customHeight="1" x14ac:dyDescent="0.35">
      <c r="A7" s="91" t="s">
        <v>22</v>
      </c>
      <c r="B7" s="93" t="s">
        <v>11</v>
      </c>
      <c r="C7" s="66">
        <v>4</v>
      </c>
      <c r="D7" s="66">
        <v>4</v>
      </c>
      <c r="E7" s="66">
        <v>1</v>
      </c>
      <c r="F7" s="66">
        <v>1</v>
      </c>
      <c r="G7" s="67">
        <f t="shared" si="0"/>
        <v>1</v>
      </c>
      <c r="H7" s="68">
        <f t="shared" si="0"/>
        <v>0.25</v>
      </c>
      <c r="I7" s="67">
        <f t="shared" si="0"/>
        <v>1</v>
      </c>
      <c r="J7" s="64" t="s">
        <v>23</v>
      </c>
    </row>
    <row r="8" spans="1:10" ht="93" customHeight="1" x14ac:dyDescent="0.35">
      <c r="A8" s="71" t="s">
        <v>113</v>
      </c>
      <c r="B8" s="93" t="s">
        <v>11</v>
      </c>
      <c r="C8" s="66">
        <v>11</v>
      </c>
      <c r="D8" s="66">
        <v>10</v>
      </c>
      <c r="E8" s="66">
        <v>0</v>
      </c>
      <c r="F8" s="66">
        <v>0</v>
      </c>
      <c r="G8" s="67">
        <f t="shared" si="0"/>
        <v>0.90909090909090906</v>
      </c>
      <c r="H8" s="68">
        <f t="shared" si="0"/>
        <v>0</v>
      </c>
      <c r="I8" s="67" t="str">
        <f t="shared" si="0"/>
        <v>N/A</v>
      </c>
      <c r="J8" s="91" t="s">
        <v>25</v>
      </c>
    </row>
    <row r="9" spans="1:10" x14ac:dyDescent="0.35">
      <c r="A9" s="97" t="s">
        <v>26</v>
      </c>
      <c r="B9" s="97"/>
      <c r="C9" s="94">
        <f>SUM(C2:C8)</f>
        <v>70</v>
      </c>
      <c r="D9" s="94">
        <f>SUM(D2:D8)</f>
        <v>66</v>
      </c>
      <c r="E9" s="94">
        <f>SUM(E2:E8)</f>
        <v>2</v>
      </c>
      <c r="F9" s="94">
        <f>SUM(F2:F8)</f>
        <v>2</v>
      </c>
      <c r="G9" s="95">
        <f>IFERROR(AVERAGE(G2:G8),"N/A")</f>
        <v>0.92993117993117991</v>
      </c>
      <c r="H9" s="96">
        <f>IFERROR(AVERAGE(H2:H8),"N/A")</f>
        <v>4.8701298701298704E-2</v>
      </c>
      <c r="I9" s="95">
        <f>IFERROR(AVERAGE(I2:I8),"N/A")</f>
        <v>1</v>
      </c>
      <c r="J9" s="92"/>
    </row>
  </sheetData>
  <mergeCells count="1">
    <mergeCell ref="A9:B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1D98-462C-4800-9589-682364551057}">
  <sheetPr>
    <tabColor theme="7"/>
  </sheetPr>
  <dimension ref="A1:J11"/>
  <sheetViews>
    <sheetView zoomScale="85" zoomScaleNormal="85" workbookViewId="0">
      <selection activeCell="A10" sqref="A10"/>
    </sheetView>
  </sheetViews>
  <sheetFormatPr defaultColWidth="9.15234375" defaultRowHeight="15" x14ac:dyDescent="0.35"/>
  <cols>
    <col min="1" max="1" width="40.69140625" style="82" bestFit="1" customWidth="1"/>
    <col min="2" max="2" width="11.3046875" style="82" bestFit="1" customWidth="1"/>
    <col min="3" max="3" width="11.69140625" style="82" bestFit="1" customWidth="1"/>
    <col min="4" max="4" width="12.69140625" style="82" bestFit="1" customWidth="1"/>
    <col min="5" max="5" width="8.3046875" style="82" bestFit="1" customWidth="1"/>
    <col min="6" max="6" width="12.3046875" style="82" customWidth="1"/>
    <col min="7" max="7" width="9" style="82" bestFit="1" customWidth="1"/>
    <col min="8" max="8" width="10.15234375" style="82" customWidth="1"/>
    <col min="9" max="9" width="8.69140625" style="82" bestFit="1" customWidth="1"/>
    <col min="10" max="10" width="72.53515625" style="86" customWidth="1"/>
    <col min="11" max="16384" width="9.15234375" style="82"/>
  </cols>
  <sheetData>
    <row r="1" spans="1:10" s="86" customFormat="1" ht="60" x14ac:dyDescent="0.35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</row>
    <row r="2" spans="1:10" ht="53.25" customHeight="1" x14ac:dyDescent="0.35">
      <c r="A2" s="83" t="s">
        <v>10</v>
      </c>
      <c r="B2" s="84" t="s">
        <v>27</v>
      </c>
      <c r="C2" s="79">
        <v>26</v>
      </c>
      <c r="D2" s="79">
        <v>26</v>
      </c>
      <c r="E2" s="79">
        <v>0</v>
      </c>
      <c r="F2" s="79">
        <v>0</v>
      </c>
      <c r="G2" s="80">
        <f>IFERROR(D2/C2,"N/A")</f>
        <v>1</v>
      </c>
      <c r="H2" s="81">
        <f t="shared" ref="G2:I10" si="0">IFERROR(E2/D2,"N/A")</f>
        <v>0</v>
      </c>
      <c r="I2" s="80" t="str">
        <f t="shared" si="0"/>
        <v>N/A</v>
      </c>
      <c r="J2" s="69" t="s">
        <v>28</v>
      </c>
    </row>
    <row r="3" spans="1:10" ht="53.25" customHeight="1" x14ac:dyDescent="0.35">
      <c r="A3" s="83" t="s">
        <v>13</v>
      </c>
      <c r="B3" s="84" t="s">
        <v>29</v>
      </c>
      <c r="C3" s="79">
        <v>5</v>
      </c>
      <c r="D3" s="79">
        <v>5</v>
      </c>
      <c r="E3" s="79">
        <v>0</v>
      </c>
      <c r="F3" s="79">
        <v>0</v>
      </c>
      <c r="G3" s="80">
        <f t="shared" si="0"/>
        <v>1</v>
      </c>
      <c r="H3" s="81">
        <f t="shared" si="0"/>
        <v>0</v>
      </c>
      <c r="I3" s="80" t="str">
        <f t="shared" si="0"/>
        <v>N/A</v>
      </c>
      <c r="J3" s="69" t="s">
        <v>28</v>
      </c>
    </row>
    <row r="4" spans="1:10" ht="53.25" customHeight="1" x14ac:dyDescent="0.35">
      <c r="A4" s="83" t="s">
        <v>16</v>
      </c>
      <c r="B4" s="84" t="s">
        <v>29</v>
      </c>
      <c r="C4" s="79">
        <v>25</v>
      </c>
      <c r="D4" s="79">
        <v>19</v>
      </c>
      <c r="E4" s="79">
        <v>0</v>
      </c>
      <c r="F4" s="79">
        <v>0</v>
      </c>
      <c r="G4" s="80">
        <f t="shared" si="0"/>
        <v>0.76</v>
      </c>
      <c r="H4" s="81">
        <f t="shared" si="0"/>
        <v>0</v>
      </c>
      <c r="I4" s="80" t="str">
        <f t="shared" si="0"/>
        <v>N/A</v>
      </c>
      <c r="J4" s="64" t="s">
        <v>30</v>
      </c>
    </row>
    <row r="5" spans="1:10" ht="53.25" customHeight="1" x14ac:dyDescent="0.35">
      <c r="A5" s="83" t="s">
        <v>31</v>
      </c>
      <c r="B5" s="84" t="s">
        <v>29</v>
      </c>
      <c r="C5" s="79">
        <v>2</v>
      </c>
      <c r="D5" s="79">
        <v>2</v>
      </c>
      <c r="E5" s="79">
        <v>0</v>
      </c>
      <c r="F5" s="79">
        <v>0</v>
      </c>
      <c r="G5" s="80">
        <f t="shared" si="0"/>
        <v>1</v>
      </c>
      <c r="H5" s="81">
        <f t="shared" si="0"/>
        <v>0</v>
      </c>
      <c r="I5" s="80" t="str">
        <f t="shared" si="0"/>
        <v>N/A</v>
      </c>
      <c r="J5" s="64" t="s">
        <v>28</v>
      </c>
    </row>
    <row r="6" spans="1:10" ht="53.25" customHeight="1" x14ac:dyDescent="0.35">
      <c r="A6" s="83" t="s">
        <v>18</v>
      </c>
      <c r="B6" s="84" t="s">
        <v>29</v>
      </c>
      <c r="C6" s="79">
        <v>29</v>
      </c>
      <c r="D6" s="79">
        <v>27</v>
      </c>
      <c r="E6" s="79">
        <v>0</v>
      </c>
      <c r="F6" s="79">
        <v>0</v>
      </c>
      <c r="G6" s="80">
        <f t="shared" si="0"/>
        <v>0.93103448275862066</v>
      </c>
      <c r="H6" s="81">
        <f t="shared" si="0"/>
        <v>0</v>
      </c>
      <c r="I6" s="80" t="str">
        <f t="shared" si="0"/>
        <v>N/A</v>
      </c>
      <c r="J6" s="64" t="s">
        <v>32</v>
      </c>
    </row>
    <row r="7" spans="1:10" ht="53.25" customHeight="1" x14ac:dyDescent="0.35">
      <c r="A7" s="83" t="s">
        <v>20</v>
      </c>
      <c r="B7" s="84" t="s">
        <v>27</v>
      </c>
      <c r="C7" s="79">
        <v>24</v>
      </c>
      <c r="D7" s="79">
        <v>24</v>
      </c>
      <c r="E7" s="79">
        <v>4</v>
      </c>
      <c r="F7" s="79">
        <v>4</v>
      </c>
      <c r="G7" s="80">
        <f t="shared" si="0"/>
        <v>1</v>
      </c>
      <c r="H7" s="81">
        <f t="shared" si="0"/>
        <v>0.16666666666666666</v>
      </c>
      <c r="I7" s="80">
        <f t="shared" si="0"/>
        <v>1</v>
      </c>
      <c r="J7" s="64" t="s">
        <v>33</v>
      </c>
    </row>
    <row r="8" spans="1:10" ht="53.25" customHeight="1" x14ac:dyDescent="0.35">
      <c r="A8" s="85" t="s">
        <v>22</v>
      </c>
      <c r="B8" s="84" t="s">
        <v>27</v>
      </c>
      <c r="C8" s="87">
        <v>15</v>
      </c>
      <c r="D8" s="79">
        <v>10</v>
      </c>
      <c r="E8" s="79">
        <v>0</v>
      </c>
      <c r="F8" s="79">
        <v>0</v>
      </c>
      <c r="G8" s="80">
        <f t="shared" si="0"/>
        <v>0.66666666666666663</v>
      </c>
      <c r="H8" s="81">
        <f t="shared" si="0"/>
        <v>0</v>
      </c>
      <c r="I8" s="80" t="str">
        <f t="shared" si="0"/>
        <v>N/A</v>
      </c>
      <c r="J8" s="64" t="s">
        <v>34</v>
      </c>
    </row>
    <row r="9" spans="1:10" ht="53.25" customHeight="1" x14ac:dyDescent="0.35">
      <c r="A9" s="83" t="s">
        <v>24</v>
      </c>
      <c r="B9" s="84" t="s">
        <v>27</v>
      </c>
      <c r="C9" s="79">
        <v>33</v>
      </c>
      <c r="D9" s="79">
        <v>33</v>
      </c>
      <c r="E9" s="79">
        <v>0</v>
      </c>
      <c r="F9" s="79">
        <v>0</v>
      </c>
      <c r="G9" s="80">
        <f t="shared" si="0"/>
        <v>1</v>
      </c>
      <c r="H9" s="81">
        <f t="shared" si="0"/>
        <v>0</v>
      </c>
      <c r="I9" s="80" t="str">
        <f t="shared" si="0"/>
        <v>N/A</v>
      </c>
      <c r="J9" s="91" t="s">
        <v>35</v>
      </c>
    </row>
    <row r="10" spans="1:10" ht="53.25" customHeight="1" x14ac:dyDescent="0.35">
      <c r="A10" s="71" t="s">
        <v>113</v>
      </c>
      <c r="B10" s="84" t="s">
        <v>27</v>
      </c>
      <c r="C10" s="79">
        <v>159</v>
      </c>
      <c r="D10" s="79">
        <v>170</v>
      </c>
      <c r="E10" s="79">
        <v>0</v>
      </c>
      <c r="F10" s="79">
        <v>0</v>
      </c>
      <c r="G10" s="80">
        <f t="shared" si="0"/>
        <v>1.0691823899371069</v>
      </c>
      <c r="H10" s="81">
        <f t="shared" si="0"/>
        <v>0</v>
      </c>
      <c r="I10" s="80" t="str">
        <f t="shared" si="0"/>
        <v>N/A</v>
      </c>
      <c r="J10" s="91" t="s">
        <v>37</v>
      </c>
    </row>
    <row r="11" spans="1:10" ht="45" customHeight="1" x14ac:dyDescent="0.35">
      <c r="A11" s="98" t="s">
        <v>26</v>
      </c>
      <c r="B11" s="98"/>
      <c r="C11" s="88">
        <f>SUM(C2:C10)</f>
        <v>318</v>
      </c>
      <c r="D11" s="88">
        <f>SUM(D2:D10)</f>
        <v>316</v>
      </c>
      <c r="E11" s="88">
        <f>SUM(E2:E10)</f>
        <v>4</v>
      </c>
      <c r="F11" s="88">
        <f>SUM(F2:F10)</f>
        <v>4</v>
      </c>
      <c r="G11" s="89">
        <f>IFERROR(AVERAGE(G2:G10),"N/A")</f>
        <v>0.93632039326248828</v>
      </c>
      <c r="H11" s="90">
        <f>IFERROR(AVERAGE(H2:H10),"N/A")</f>
        <v>1.8518518518518517E-2</v>
      </c>
      <c r="I11" s="89">
        <f>IFERROR(AVERAGE(I2:I10),"N/A")</f>
        <v>1</v>
      </c>
      <c r="J11" s="92"/>
    </row>
  </sheetData>
  <mergeCells count="1">
    <mergeCell ref="A11:B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0CED-90A3-4C50-8199-449CFFED87CA}">
  <sheetPr>
    <tabColor rgb="FF92D050"/>
  </sheetPr>
  <dimension ref="A2:G37"/>
  <sheetViews>
    <sheetView topLeftCell="A16" workbookViewId="0">
      <selection activeCell="B23" sqref="B23:B37"/>
    </sheetView>
  </sheetViews>
  <sheetFormatPr defaultColWidth="9.15234375" defaultRowHeight="14.6" x14ac:dyDescent="0.4"/>
  <cols>
    <col min="1" max="1" width="13.3046875" style="1" customWidth="1"/>
    <col min="2" max="2" width="55" style="1" customWidth="1"/>
    <col min="3" max="3" width="23.69140625" style="1" customWidth="1"/>
    <col min="4" max="4" width="9.69140625" style="1" bestFit="1" customWidth="1"/>
    <col min="5" max="5" width="10.69140625" style="1" bestFit="1" customWidth="1"/>
    <col min="6" max="6" width="11.69140625" style="1" customWidth="1"/>
    <col min="7" max="7" width="58.84375" style="1" bestFit="1" customWidth="1"/>
    <col min="8" max="16384" width="9.15234375" style="1"/>
  </cols>
  <sheetData>
    <row r="2" spans="2:3" x14ac:dyDescent="0.4">
      <c r="B2" s="9" t="s">
        <v>38</v>
      </c>
      <c r="C2" s="9">
        <f>D31</f>
        <v>0</v>
      </c>
    </row>
    <row r="3" spans="2:3" x14ac:dyDescent="0.4">
      <c r="B3" s="9" t="s">
        <v>39</v>
      </c>
      <c r="C3" s="9">
        <f>E31</f>
        <v>0</v>
      </c>
    </row>
    <row r="4" spans="2:3" x14ac:dyDescent="0.4">
      <c r="B4" s="9" t="s">
        <v>40</v>
      </c>
      <c r="C4" s="10">
        <f>F31</f>
        <v>0</v>
      </c>
    </row>
    <row r="22" spans="1:7" ht="25.75" x14ac:dyDescent="0.4">
      <c r="B22" s="2" t="s">
        <v>0</v>
      </c>
      <c r="C22" s="2" t="s">
        <v>41</v>
      </c>
      <c r="D22" s="2" t="s">
        <v>38</v>
      </c>
      <c r="E22" s="2" t="s">
        <v>39</v>
      </c>
      <c r="F22" s="2" t="s">
        <v>6</v>
      </c>
      <c r="G22" s="2" t="s">
        <v>42</v>
      </c>
    </row>
    <row r="23" spans="1:7" x14ac:dyDescent="0.4">
      <c r="A23" s="25" t="s">
        <v>43</v>
      </c>
      <c r="B23" s="11" t="s">
        <v>44</v>
      </c>
      <c r="C23" s="4"/>
      <c r="D23" s="5"/>
      <c r="E23" s="5"/>
      <c r="F23" s="6"/>
      <c r="G23" s="3"/>
    </row>
    <row r="24" spans="1:7" x14ac:dyDescent="0.4">
      <c r="A24" s="25" t="s">
        <v>45</v>
      </c>
      <c r="B24" s="12" t="s">
        <v>46</v>
      </c>
      <c r="C24" s="4"/>
      <c r="D24" s="5"/>
      <c r="E24" s="5"/>
      <c r="F24" s="6"/>
      <c r="G24" s="7"/>
    </row>
    <row r="25" spans="1:7" x14ac:dyDescent="0.4">
      <c r="A25" s="25" t="s">
        <v>45</v>
      </c>
      <c r="B25" s="12" t="s">
        <v>47</v>
      </c>
      <c r="C25" s="4"/>
      <c r="D25" s="5"/>
      <c r="E25" s="5"/>
      <c r="F25" s="6"/>
      <c r="G25" s="3"/>
    </row>
    <row r="26" spans="1:7" x14ac:dyDescent="0.4">
      <c r="A26" s="25" t="s">
        <v>48</v>
      </c>
      <c r="B26" s="12" t="s">
        <v>49</v>
      </c>
      <c r="C26" s="4"/>
      <c r="D26" s="5"/>
      <c r="E26" s="5"/>
      <c r="F26" s="6"/>
      <c r="G26" s="3"/>
    </row>
    <row r="27" spans="1:7" x14ac:dyDescent="0.4">
      <c r="A27" s="25" t="s">
        <v>45</v>
      </c>
      <c r="B27" s="12" t="s">
        <v>50</v>
      </c>
      <c r="C27" s="4"/>
      <c r="D27" s="5"/>
      <c r="E27" s="5"/>
      <c r="F27" s="6"/>
      <c r="G27" s="3"/>
    </row>
    <row r="28" spans="1:7" x14ac:dyDescent="0.4">
      <c r="A28" s="25" t="s">
        <v>45</v>
      </c>
      <c r="B28" s="12" t="s">
        <v>51</v>
      </c>
      <c r="C28" s="4"/>
      <c r="D28" s="5"/>
      <c r="E28" s="5"/>
      <c r="F28" s="6"/>
      <c r="G28" s="3"/>
    </row>
    <row r="29" spans="1:7" x14ac:dyDescent="0.4">
      <c r="A29" s="25" t="s">
        <v>52</v>
      </c>
      <c r="B29" s="12" t="s">
        <v>53</v>
      </c>
      <c r="C29" s="21"/>
      <c r="D29" s="22"/>
      <c r="E29" s="22"/>
      <c r="F29" s="23"/>
      <c r="G29" s="24"/>
    </row>
    <row r="30" spans="1:7" ht="20.7" customHeight="1" x14ac:dyDescent="0.4">
      <c r="A30" s="25" t="s">
        <v>54</v>
      </c>
      <c r="B30" s="20" t="s">
        <v>55</v>
      </c>
      <c r="C30" s="13"/>
      <c r="D30" s="14"/>
      <c r="E30" s="14"/>
      <c r="F30" s="15"/>
      <c r="G30" s="16"/>
    </row>
    <row r="31" spans="1:7" x14ac:dyDescent="0.4">
      <c r="A31" s="25" t="s">
        <v>56</v>
      </c>
      <c r="B31" s="20" t="s">
        <v>57</v>
      </c>
      <c r="C31" s="17"/>
      <c r="D31" s="18"/>
      <c r="E31" s="18"/>
      <c r="F31" s="19"/>
      <c r="G31" s="17"/>
    </row>
    <row r="32" spans="1:7" x14ac:dyDescent="0.4">
      <c r="A32" s="25" t="s">
        <v>58</v>
      </c>
      <c r="B32" s="20" t="s">
        <v>59</v>
      </c>
      <c r="C32" s="17"/>
      <c r="D32" s="17"/>
      <c r="E32" s="17"/>
      <c r="F32" s="17"/>
      <c r="G32" s="17"/>
    </row>
    <row r="33" spans="1:7" x14ac:dyDescent="0.4">
      <c r="A33" s="25" t="s">
        <v>60</v>
      </c>
      <c r="B33" s="20" t="s">
        <v>61</v>
      </c>
      <c r="C33" s="17"/>
      <c r="D33" s="17"/>
      <c r="E33" s="17"/>
      <c r="F33" s="17"/>
      <c r="G33" s="17"/>
    </row>
    <row r="34" spans="1:7" x14ac:dyDescent="0.4">
      <c r="A34" s="25" t="s">
        <v>45</v>
      </c>
      <c r="B34" s="20" t="s">
        <v>62</v>
      </c>
      <c r="C34" s="17"/>
      <c r="D34" s="17"/>
      <c r="E34" s="17"/>
      <c r="F34" s="17"/>
      <c r="G34" s="17"/>
    </row>
    <row r="35" spans="1:7" x14ac:dyDescent="0.4">
      <c r="A35" s="25" t="s">
        <v>63</v>
      </c>
      <c r="B35" s="20" t="s">
        <v>64</v>
      </c>
      <c r="C35" s="17"/>
      <c r="D35" s="17"/>
      <c r="E35" s="17"/>
      <c r="F35" s="17"/>
      <c r="G35" s="17"/>
    </row>
    <row r="36" spans="1:7" x14ac:dyDescent="0.4">
      <c r="A36" s="25" t="s">
        <v>65</v>
      </c>
      <c r="B36" s="20" t="s">
        <v>66</v>
      </c>
      <c r="C36" s="17"/>
      <c r="D36" s="17"/>
      <c r="E36" s="17"/>
      <c r="F36" s="17"/>
      <c r="G36" s="17"/>
    </row>
    <row r="37" spans="1:7" x14ac:dyDescent="0.4">
      <c r="A37" s="25" t="s">
        <v>67</v>
      </c>
      <c r="B37" s="20" t="s">
        <v>68</v>
      </c>
      <c r="C37" s="17"/>
      <c r="D37" s="17"/>
      <c r="E37" s="17"/>
      <c r="F37" s="17"/>
      <c r="G37" s="17"/>
    </row>
  </sheetData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34BB-30DB-4270-8973-6B19FBC6CCA7}">
  <sheetPr>
    <tabColor theme="7"/>
  </sheetPr>
  <dimension ref="B2:H37"/>
  <sheetViews>
    <sheetView zoomScale="70" zoomScaleNormal="70" workbookViewId="0">
      <selection activeCell="H29" sqref="H29"/>
    </sheetView>
  </sheetViews>
  <sheetFormatPr defaultColWidth="9.15234375" defaultRowHeight="14.6" x14ac:dyDescent="0.4"/>
  <cols>
    <col min="2" max="2" width="39" customWidth="1"/>
    <col min="3" max="3" width="23.69140625" customWidth="1"/>
    <col min="4" max="4" width="9.69140625" bestFit="1" customWidth="1"/>
    <col min="5" max="5" width="9.69140625" customWidth="1"/>
    <col min="6" max="6" width="10.69140625" bestFit="1" customWidth="1"/>
    <col min="7" max="7" width="11.69140625" customWidth="1"/>
    <col min="8" max="8" width="102.3046875" customWidth="1"/>
  </cols>
  <sheetData>
    <row r="2" spans="2:3" x14ac:dyDescent="0.4">
      <c r="B2" s="26" t="s">
        <v>38</v>
      </c>
      <c r="C2" s="26">
        <f ca="1">D30</f>
        <v>71</v>
      </c>
    </row>
    <row r="3" spans="2:3" x14ac:dyDescent="0.4">
      <c r="B3" s="26" t="s">
        <v>39</v>
      </c>
      <c r="C3" s="26">
        <f ca="1">F30</f>
        <v>-7</v>
      </c>
    </row>
    <row r="4" spans="2:3" x14ac:dyDescent="0.4">
      <c r="B4" s="26" t="s">
        <v>40</v>
      </c>
      <c r="C4" s="27">
        <f ca="1">G30</f>
        <v>-9.8591549295774641E-2</v>
      </c>
    </row>
    <row r="22" spans="2:8" ht="25.75" x14ac:dyDescent="0.4">
      <c r="B22" s="28" t="s">
        <v>0</v>
      </c>
      <c r="C22" s="28" t="s">
        <v>1</v>
      </c>
      <c r="D22" s="28" t="s">
        <v>69</v>
      </c>
      <c r="E22" s="28" t="s">
        <v>70</v>
      </c>
      <c r="F22" s="28" t="s">
        <v>71</v>
      </c>
      <c r="G22" s="28" t="s">
        <v>6</v>
      </c>
      <c r="H22" s="28" t="s">
        <v>42</v>
      </c>
    </row>
    <row r="23" spans="2:8" x14ac:dyDescent="0.4">
      <c r="B23" s="11" t="s">
        <v>44</v>
      </c>
      <c r="C23" s="30" t="s">
        <v>72</v>
      </c>
      <c r="D23" s="31">
        <f ca="1">RANDBETWEEN(50,80)</f>
        <v>58</v>
      </c>
      <c r="E23" s="31">
        <f ca="1">RANDBETWEEN(51,80)</f>
        <v>62</v>
      </c>
      <c r="F23" s="31">
        <f ca="1">D23-E23</f>
        <v>-4</v>
      </c>
      <c r="G23" s="32">
        <f ca="1">F23/D23</f>
        <v>-6.8965517241379309E-2</v>
      </c>
      <c r="H23" s="29"/>
    </row>
    <row r="24" spans="2:8" x14ac:dyDescent="0.4">
      <c r="B24" s="12" t="s">
        <v>46</v>
      </c>
      <c r="C24" s="30" t="s">
        <v>73</v>
      </c>
      <c r="D24" s="31">
        <f t="shared" ref="D24:D37" ca="1" si="0">RANDBETWEEN(51,100)</f>
        <v>62</v>
      </c>
      <c r="E24" s="31">
        <f t="shared" ref="E24:E37" ca="1" si="1">RANDBETWEEN(50,80)</f>
        <v>54</v>
      </c>
      <c r="F24" s="31">
        <f t="shared" ref="F24:F29" ca="1" si="2">D24-E24</f>
        <v>8</v>
      </c>
      <c r="G24" s="32">
        <f t="shared" ref="G24:G29" ca="1" si="3">F24/D24</f>
        <v>0.12903225806451613</v>
      </c>
      <c r="H24" s="33"/>
    </row>
    <row r="25" spans="2:8" x14ac:dyDescent="0.4">
      <c r="B25" s="12" t="s">
        <v>47</v>
      </c>
      <c r="C25" s="30" t="s">
        <v>73</v>
      </c>
      <c r="D25" s="31">
        <f t="shared" ca="1" si="0"/>
        <v>100</v>
      </c>
      <c r="E25" s="31">
        <f t="shared" ca="1" si="1"/>
        <v>54</v>
      </c>
      <c r="F25" s="31">
        <f t="shared" ca="1" si="2"/>
        <v>46</v>
      </c>
      <c r="G25" s="32">
        <f t="shared" ca="1" si="3"/>
        <v>0.46</v>
      </c>
      <c r="H25" s="29"/>
    </row>
    <row r="26" spans="2:8" x14ac:dyDescent="0.4">
      <c r="B26" s="12" t="s">
        <v>49</v>
      </c>
      <c r="C26" s="30" t="s">
        <v>73</v>
      </c>
      <c r="D26" s="31">
        <f t="shared" ca="1" si="0"/>
        <v>84</v>
      </c>
      <c r="E26" s="31">
        <f t="shared" ca="1" si="1"/>
        <v>58</v>
      </c>
      <c r="F26" s="31">
        <f t="shared" ca="1" si="2"/>
        <v>26</v>
      </c>
      <c r="G26" s="32">
        <f t="shared" ca="1" si="3"/>
        <v>0.30952380952380953</v>
      </c>
      <c r="H26" s="29"/>
    </row>
    <row r="27" spans="2:8" x14ac:dyDescent="0.4">
      <c r="B27" s="12" t="s">
        <v>50</v>
      </c>
      <c r="C27" s="30" t="s">
        <v>72</v>
      </c>
      <c r="D27" s="31">
        <f t="shared" ca="1" si="0"/>
        <v>93</v>
      </c>
      <c r="E27" s="31">
        <f t="shared" ca="1" si="1"/>
        <v>65</v>
      </c>
      <c r="F27" s="31">
        <f t="shared" ca="1" si="2"/>
        <v>28</v>
      </c>
      <c r="G27" s="32">
        <f t="shared" ca="1" si="3"/>
        <v>0.30107526881720431</v>
      </c>
      <c r="H27" s="29"/>
    </row>
    <row r="28" spans="2:8" x14ac:dyDescent="0.4">
      <c r="B28" s="12" t="s">
        <v>51</v>
      </c>
      <c r="C28" s="30" t="s">
        <v>72</v>
      </c>
      <c r="D28" s="31">
        <f t="shared" ca="1" si="0"/>
        <v>87</v>
      </c>
      <c r="E28" s="31">
        <f t="shared" ca="1" si="1"/>
        <v>67</v>
      </c>
      <c r="F28" s="31">
        <f t="shared" ca="1" si="2"/>
        <v>20</v>
      </c>
      <c r="G28" s="32">
        <f t="shared" ca="1" si="3"/>
        <v>0.22988505747126436</v>
      </c>
      <c r="H28" s="29"/>
    </row>
    <row r="29" spans="2:8" x14ac:dyDescent="0.4">
      <c r="B29" s="12" t="s">
        <v>53</v>
      </c>
      <c r="C29" s="30" t="s">
        <v>72</v>
      </c>
      <c r="D29" s="31">
        <f t="shared" ca="1" si="0"/>
        <v>76</v>
      </c>
      <c r="E29" s="31">
        <f ca="1">RANDBETWEEN(50,80)</f>
        <v>76</v>
      </c>
      <c r="F29" s="31">
        <f t="shared" ca="1" si="2"/>
        <v>0</v>
      </c>
      <c r="G29" s="32">
        <f t="shared" ca="1" si="3"/>
        <v>0</v>
      </c>
      <c r="H29" s="34"/>
    </row>
    <row r="30" spans="2:8" ht="25.75" x14ac:dyDescent="0.4">
      <c r="B30" s="20" t="s">
        <v>55</v>
      </c>
      <c r="C30" s="30" t="s">
        <v>74</v>
      </c>
      <c r="D30" s="31">
        <f t="shared" ca="1" si="0"/>
        <v>71</v>
      </c>
      <c r="E30" s="31">
        <f t="shared" ca="1" si="1"/>
        <v>78</v>
      </c>
      <c r="F30" s="31">
        <f t="shared" ref="F30:F37" ca="1" si="4">D30-E30</f>
        <v>-7</v>
      </c>
      <c r="G30" s="32">
        <f t="shared" ref="G30:G37" ca="1" si="5">F30/D30</f>
        <v>-9.8591549295774641E-2</v>
      </c>
      <c r="H30" s="34"/>
    </row>
    <row r="31" spans="2:8" x14ac:dyDescent="0.4">
      <c r="B31" s="20" t="s">
        <v>57</v>
      </c>
      <c r="C31" s="30" t="s">
        <v>75</v>
      </c>
      <c r="D31" s="31">
        <f t="shared" ca="1" si="0"/>
        <v>70</v>
      </c>
      <c r="E31" s="31">
        <f ca="1">RANDBETWEEN(50,80)</f>
        <v>73</v>
      </c>
      <c r="F31" s="31">
        <f t="shared" ca="1" si="4"/>
        <v>-3</v>
      </c>
      <c r="G31" s="32">
        <f t="shared" ca="1" si="5"/>
        <v>-4.2857142857142858E-2</v>
      </c>
      <c r="H31" s="34"/>
    </row>
    <row r="32" spans="2:8" x14ac:dyDescent="0.4">
      <c r="B32" s="20" t="s">
        <v>59</v>
      </c>
      <c r="C32" s="30" t="s">
        <v>76</v>
      </c>
      <c r="D32" s="31">
        <f t="shared" ca="1" si="0"/>
        <v>53</v>
      </c>
      <c r="E32" s="31">
        <f ca="1">RANDBETWEEN(50,80)</f>
        <v>54</v>
      </c>
      <c r="F32" s="31">
        <f t="shared" ca="1" si="4"/>
        <v>-1</v>
      </c>
      <c r="G32" s="32">
        <f t="shared" ca="1" si="5"/>
        <v>-1.8867924528301886E-2</v>
      </c>
      <c r="H32" s="34"/>
    </row>
    <row r="33" spans="2:8" ht="25.75" x14ac:dyDescent="0.4">
      <c r="B33" s="20" t="s">
        <v>61</v>
      </c>
      <c r="C33" s="30" t="s">
        <v>77</v>
      </c>
      <c r="D33" s="31">
        <f t="shared" ca="1" si="0"/>
        <v>58</v>
      </c>
      <c r="E33" s="31">
        <f t="shared" ca="1" si="1"/>
        <v>64</v>
      </c>
      <c r="F33" s="31">
        <f t="shared" ca="1" si="4"/>
        <v>-6</v>
      </c>
      <c r="G33" s="32">
        <f t="shared" ca="1" si="5"/>
        <v>-0.10344827586206896</v>
      </c>
      <c r="H33" s="34"/>
    </row>
    <row r="34" spans="2:8" x14ac:dyDescent="0.4">
      <c r="B34" s="20" t="s">
        <v>62</v>
      </c>
      <c r="C34" s="30" t="s">
        <v>78</v>
      </c>
      <c r="D34" s="31">
        <f t="shared" ca="1" si="0"/>
        <v>77</v>
      </c>
      <c r="E34" s="31">
        <f t="shared" ca="1" si="1"/>
        <v>75</v>
      </c>
      <c r="F34" s="31">
        <f t="shared" ca="1" si="4"/>
        <v>2</v>
      </c>
      <c r="G34" s="32">
        <f t="shared" ca="1" si="5"/>
        <v>2.5974025974025976E-2</v>
      </c>
      <c r="H34" s="34"/>
    </row>
    <row r="35" spans="2:8" x14ac:dyDescent="0.4">
      <c r="B35" s="20" t="s">
        <v>64</v>
      </c>
      <c r="C35" s="30" t="s">
        <v>79</v>
      </c>
      <c r="D35" s="31">
        <f t="shared" ca="1" si="0"/>
        <v>55</v>
      </c>
      <c r="E35" s="31">
        <f t="shared" ca="1" si="1"/>
        <v>65</v>
      </c>
      <c r="F35" s="31">
        <f t="shared" ca="1" si="4"/>
        <v>-10</v>
      </c>
      <c r="G35" s="32">
        <f t="shared" ca="1" si="5"/>
        <v>-0.18181818181818182</v>
      </c>
      <c r="H35" s="34"/>
    </row>
    <row r="36" spans="2:8" x14ac:dyDescent="0.4">
      <c r="B36" s="20" t="s">
        <v>66</v>
      </c>
      <c r="C36" s="30" t="s">
        <v>80</v>
      </c>
      <c r="D36" s="31">
        <f t="shared" ca="1" si="0"/>
        <v>72</v>
      </c>
      <c r="E36" s="31">
        <f t="shared" ca="1" si="1"/>
        <v>75</v>
      </c>
      <c r="F36" s="31">
        <f t="shared" ca="1" si="4"/>
        <v>-3</v>
      </c>
      <c r="G36" s="32">
        <f t="shared" ca="1" si="5"/>
        <v>-4.1666666666666664E-2</v>
      </c>
      <c r="H36" s="34"/>
    </row>
    <row r="37" spans="2:8" x14ac:dyDescent="0.4">
      <c r="B37" s="20" t="s">
        <v>68</v>
      </c>
      <c r="C37" s="30" t="s">
        <v>81</v>
      </c>
      <c r="D37" s="31">
        <f t="shared" ca="1" si="0"/>
        <v>57</v>
      </c>
      <c r="E37" s="31">
        <f t="shared" ca="1" si="1"/>
        <v>77</v>
      </c>
      <c r="F37" s="31">
        <f t="shared" ca="1" si="4"/>
        <v>-20</v>
      </c>
      <c r="G37" s="32">
        <f t="shared" ca="1" si="5"/>
        <v>-0.35087719298245612</v>
      </c>
      <c r="H37" s="34"/>
    </row>
  </sheetData>
  <phoneticPr fontId="12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4987-09CB-4B57-A60D-AD59D27FF409}">
  <sheetPr>
    <tabColor theme="7"/>
  </sheetPr>
  <dimension ref="A1:J11"/>
  <sheetViews>
    <sheetView zoomScale="85" zoomScaleNormal="85" workbookViewId="0">
      <selection activeCell="A10" sqref="A10"/>
    </sheetView>
  </sheetViews>
  <sheetFormatPr defaultColWidth="9.15234375" defaultRowHeight="14.15" x14ac:dyDescent="0.35"/>
  <cols>
    <col min="1" max="1" width="32" style="45" customWidth="1"/>
    <col min="2" max="2" width="19.15234375" style="45" customWidth="1"/>
    <col min="3" max="3" width="18.3828125" style="45" customWidth="1"/>
    <col min="4" max="6" width="16.84375" style="45" customWidth="1"/>
    <col min="7" max="8" width="11.69140625" style="45" customWidth="1"/>
    <col min="9" max="9" width="14" style="45" customWidth="1"/>
    <col min="10" max="10" width="58.84375" style="45" bestFit="1" customWidth="1"/>
    <col min="11" max="16384" width="9.15234375" style="45"/>
  </cols>
  <sheetData>
    <row r="1" spans="1:10" ht="36.65" customHeight="1" x14ac:dyDescent="0.35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</row>
    <row r="2" spans="1:10" ht="30.65" customHeight="1" x14ac:dyDescent="0.35">
      <c r="A2" s="47" t="s">
        <v>10</v>
      </c>
      <c r="B2" s="48" t="s">
        <v>82</v>
      </c>
      <c r="C2" s="49">
        <v>2</v>
      </c>
      <c r="D2" s="49">
        <v>2</v>
      </c>
      <c r="E2" s="49">
        <v>0</v>
      </c>
      <c r="F2" s="49">
        <v>0</v>
      </c>
      <c r="G2" s="50">
        <f t="shared" ref="G2:G10" si="0">IFERROR(D2/C2,"N/A")</f>
        <v>1</v>
      </c>
      <c r="H2" s="51">
        <f t="shared" ref="H2:H10" si="1">IFERROR(E2/D2,"N/A")</f>
        <v>0</v>
      </c>
      <c r="I2" s="50" t="str">
        <f t="shared" ref="I2:I10" si="2">IFERROR(F2/E2,"N/A")</f>
        <v>N/A</v>
      </c>
      <c r="J2" s="52" t="s">
        <v>83</v>
      </c>
    </row>
    <row r="3" spans="1:10" ht="30.65" customHeight="1" x14ac:dyDescent="0.35">
      <c r="A3" s="47" t="s">
        <v>13</v>
      </c>
      <c r="B3" s="48" t="s">
        <v>84</v>
      </c>
      <c r="C3" s="49">
        <v>5</v>
      </c>
      <c r="D3" s="49">
        <v>5</v>
      </c>
      <c r="E3" s="49">
        <v>0</v>
      </c>
      <c r="F3" s="49">
        <v>0</v>
      </c>
      <c r="G3" s="50">
        <f t="shared" si="0"/>
        <v>1</v>
      </c>
      <c r="H3" s="51">
        <f t="shared" si="1"/>
        <v>0</v>
      </c>
      <c r="I3" s="50" t="str">
        <f t="shared" si="2"/>
        <v>N/A</v>
      </c>
      <c r="J3" s="52" t="s">
        <v>83</v>
      </c>
    </row>
    <row r="4" spans="1:10" ht="30.65" customHeight="1" x14ac:dyDescent="0.35">
      <c r="A4" s="47" t="s">
        <v>16</v>
      </c>
      <c r="B4" s="48" t="s">
        <v>84</v>
      </c>
      <c r="C4" s="49">
        <v>27</v>
      </c>
      <c r="D4" s="49">
        <v>26</v>
      </c>
      <c r="E4" s="49">
        <v>2</v>
      </c>
      <c r="F4" s="49">
        <v>2</v>
      </c>
      <c r="G4" s="50">
        <f t="shared" si="0"/>
        <v>0.96296296296296291</v>
      </c>
      <c r="H4" s="53">
        <f t="shared" si="1"/>
        <v>7.6923076923076927E-2</v>
      </c>
      <c r="I4" s="50">
        <f t="shared" si="2"/>
        <v>1</v>
      </c>
      <c r="J4" s="47" t="s">
        <v>85</v>
      </c>
    </row>
    <row r="5" spans="1:10" ht="30.65" customHeight="1" x14ac:dyDescent="0.35">
      <c r="A5" s="47" t="s">
        <v>31</v>
      </c>
      <c r="B5" s="48" t="s">
        <v>84</v>
      </c>
      <c r="C5" s="49">
        <v>3</v>
      </c>
      <c r="D5" s="49">
        <v>3</v>
      </c>
      <c r="E5" s="49">
        <v>0</v>
      </c>
      <c r="F5" s="49">
        <v>0</v>
      </c>
      <c r="G5" s="50">
        <f t="shared" si="0"/>
        <v>1</v>
      </c>
      <c r="H5" s="51">
        <f t="shared" si="1"/>
        <v>0</v>
      </c>
      <c r="I5" s="50" t="str">
        <f t="shared" si="2"/>
        <v>N/A</v>
      </c>
      <c r="J5" s="52" t="s">
        <v>83</v>
      </c>
    </row>
    <row r="6" spans="1:10" ht="30.65" customHeight="1" x14ac:dyDescent="0.35">
      <c r="A6" s="47" t="s">
        <v>18</v>
      </c>
      <c r="B6" s="48" t="s">
        <v>84</v>
      </c>
      <c r="C6" s="49">
        <v>16</v>
      </c>
      <c r="D6" s="49">
        <v>16</v>
      </c>
      <c r="E6" s="49">
        <v>0</v>
      </c>
      <c r="F6" s="49">
        <v>0</v>
      </c>
      <c r="G6" s="50">
        <f t="shared" si="0"/>
        <v>1</v>
      </c>
      <c r="H6" s="51">
        <f t="shared" si="1"/>
        <v>0</v>
      </c>
      <c r="I6" s="54" t="str">
        <f t="shared" si="2"/>
        <v>N/A</v>
      </c>
      <c r="J6" s="52" t="s">
        <v>83</v>
      </c>
    </row>
    <row r="7" spans="1:10" ht="30.65" customHeight="1" x14ac:dyDescent="0.35">
      <c r="A7" s="47" t="s">
        <v>20</v>
      </c>
      <c r="B7" s="48" t="s">
        <v>82</v>
      </c>
      <c r="C7" s="49">
        <v>27</v>
      </c>
      <c r="D7" s="49">
        <v>27</v>
      </c>
      <c r="E7" s="49">
        <v>2</v>
      </c>
      <c r="F7" s="49">
        <v>2</v>
      </c>
      <c r="G7" s="50">
        <f t="shared" si="0"/>
        <v>1</v>
      </c>
      <c r="H7" s="53">
        <f t="shared" si="1"/>
        <v>7.407407407407407E-2</v>
      </c>
      <c r="I7" s="54">
        <f t="shared" si="2"/>
        <v>1</v>
      </c>
      <c r="J7" s="55" t="s">
        <v>86</v>
      </c>
    </row>
    <row r="8" spans="1:10" ht="30.65" customHeight="1" x14ac:dyDescent="0.35">
      <c r="A8" s="56" t="s">
        <v>22</v>
      </c>
      <c r="B8" s="48" t="s">
        <v>82</v>
      </c>
      <c r="C8" s="49">
        <v>26</v>
      </c>
      <c r="D8" s="49">
        <v>25</v>
      </c>
      <c r="E8" s="49">
        <v>3</v>
      </c>
      <c r="F8" s="49">
        <v>3</v>
      </c>
      <c r="G8" s="50">
        <f>IFERROR(D8/C8,"N/A")</f>
        <v>0.96153846153846156</v>
      </c>
      <c r="H8" s="51">
        <f t="shared" si="1"/>
        <v>0.12</v>
      </c>
      <c r="I8" s="54">
        <f t="shared" si="2"/>
        <v>1</v>
      </c>
      <c r="J8" s="55" t="s">
        <v>87</v>
      </c>
    </row>
    <row r="9" spans="1:10" ht="30.65" customHeight="1" x14ac:dyDescent="0.35">
      <c r="A9" s="55" t="s">
        <v>24</v>
      </c>
      <c r="B9" s="57" t="s">
        <v>82</v>
      </c>
      <c r="C9" s="49">
        <v>13</v>
      </c>
      <c r="D9" s="49">
        <v>13</v>
      </c>
      <c r="E9" s="49">
        <v>5</v>
      </c>
      <c r="F9" s="49">
        <v>5</v>
      </c>
      <c r="G9" s="50">
        <f t="shared" si="0"/>
        <v>1</v>
      </c>
      <c r="H9" s="53">
        <f t="shared" si="1"/>
        <v>0.38461538461538464</v>
      </c>
      <c r="I9" s="54">
        <f t="shared" si="2"/>
        <v>1</v>
      </c>
      <c r="J9" s="58" t="s">
        <v>88</v>
      </c>
    </row>
    <row r="10" spans="1:10" ht="30.65" customHeight="1" x14ac:dyDescent="0.35">
      <c r="A10" s="71" t="s">
        <v>113</v>
      </c>
      <c r="B10" s="57" t="s">
        <v>82</v>
      </c>
      <c r="C10" s="49">
        <v>160</v>
      </c>
      <c r="D10" s="49">
        <v>197</v>
      </c>
      <c r="E10" s="49">
        <v>0</v>
      </c>
      <c r="F10" s="49">
        <v>0</v>
      </c>
      <c r="G10" s="50">
        <f t="shared" si="0"/>
        <v>1.23125</v>
      </c>
      <c r="H10" s="51">
        <f t="shared" si="1"/>
        <v>0</v>
      </c>
      <c r="I10" s="54" t="str">
        <f t="shared" si="2"/>
        <v>N/A</v>
      </c>
      <c r="J10" s="58" t="s">
        <v>89</v>
      </c>
    </row>
    <row r="11" spans="1:10" ht="25.5" customHeight="1" x14ac:dyDescent="0.35">
      <c r="A11" s="99" t="s">
        <v>26</v>
      </c>
      <c r="B11" s="100"/>
      <c r="C11" s="59">
        <f>SUM(C2:C10)</f>
        <v>279</v>
      </c>
      <c r="D11" s="59">
        <f>SUM(D2:D10)</f>
        <v>314</v>
      </c>
      <c r="E11" s="59">
        <f t="shared" ref="E11:F11" si="3">SUM(E2:E10)</f>
        <v>12</v>
      </c>
      <c r="F11" s="59">
        <f t="shared" si="3"/>
        <v>12</v>
      </c>
      <c r="G11" s="60">
        <f>IFERROR(AVERAGE(G2:G10),"N/A")</f>
        <v>1.0173057138334916</v>
      </c>
      <c r="H11" s="61">
        <f>IFERROR(AVERAGE(H2:H10),"N/A")</f>
        <v>7.284583729028174E-2</v>
      </c>
      <c r="I11" s="60">
        <f>IFERROR(AVERAGE(I2:I10),"N/A")</f>
        <v>1</v>
      </c>
      <c r="J11" s="62"/>
    </row>
  </sheetData>
  <mergeCells count="1">
    <mergeCell ref="A11:B1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F2D4-D275-4BD0-A894-5EE2CB73EDB9}">
  <sheetPr>
    <tabColor theme="7"/>
  </sheetPr>
  <dimension ref="B2:K32"/>
  <sheetViews>
    <sheetView topLeftCell="A11" zoomScaleNormal="100" workbookViewId="0">
      <selection activeCell="B30" sqref="B30"/>
    </sheetView>
  </sheetViews>
  <sheetFormatPr defaultColWidth="9.15234375" defaultRowHeight="14.6" x14ac:dyDescent="0.4"/>
  <cols>
    <col min="1" max="1" width="13.15234375" style="1" customWidth="1"/>
    <col min="2" max="2" width="41.15234375" style="1" customWidth="1"/>
    <col min="3" max="3" width="23.69140625" style="1" customWidth="1"/>
    <col min="4" max="4" width="18.3828125" style="1" customWidth="1"/>
    <col min="5" max="7" width="16.84375" style="1" customWidth="1"/>
    <col min="8" max="9" width="11.69140625" style="1" customWidth="1"/>
    <col min="10" max="10" width="14" style="1" customWidth="1"/>
    <col min="11" max="11" width="58.84375" style="1" bestFit="1" customWidth="1"/>
    <col min="12" max="16384" width="9.15234375" style="1"/>
  </cols>
  <sheetData>
    <row r="2" spans="2:3" x14ac:dyDescent="0.4">
      <c r="B2" s="43" t="s">
        <v>38</v>
      </c>
      <c r="C2" s="9">
        <f ca="1">D32</f>
        <v>54</v>
      </c>
    </row>
    <row r="3" spans="2:3" x14ac:dyDescent="0.4">
      <c r="B3" s="9" t="s">
        <v>39</v>
      </c>
      <c r="C3" s="9">
        <f ca="1">E32</f>
        <v>72</v>
      </c>
    </row>
    <row r="4" spans="2:3" x14ac:dyDescent="0.4">
      <c r="B4" s="9" t="s">
        <v>40</v>
      </c>
      <c r="C4" s="10">
        <f ca="1">J32</f>
        <v>1.3707694801392978</v>
      </c>
    </row>
    <row r="22" spans="2:11" ht="36.65" customHeight="1" x14ac:dyDescent="0.4">
      <c r="B22" s="2" t="s">
        <v>0</v>
      </c>
      <c r="C22" s="2" t="s">
        <v>1</v>
      </c>
      <c r="D22" s="2" t="s">
        <v>2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  <c r="J22" s="2" t="s">
        <v>8</v>
      </c>
      <c r="K22" s="28" t="s">
        <v>9</v>
      </c>
    </row>
    <row r="23" spans="2:11" ht="22.5" customHeight="1" x14ac:dyDescent="0.4">
      <c r="B23" s="3" t="s">
        <v>10</v>
      </c>
      <c r="C23" s="39" t="s">
        <v>90</v>
      </c>
      <c r="D23" s="5">
        <f t="shared" ref="D23:D31" ca="1" si="0">RANDBETWEEN(1,10)</f>
        <v>5</v>
      </c>
      <c r="E23" s="5">
        <f t="shared" ref="E23:E31" ca="1" si="1">RANDBETWEEN(5,10)</f>
        <v>10</v>
      </c>
      <c r="F23" s="5">
        <f t="shared" ref="F23:G23" ca="1" si="2">RANDBETWEEN(1,100)</f>
        <v>24</v>
      </c>
      <c r="G23" s="5">
        <f t="shared" ca="1" si="2"/>
        <v>4</v>
      </c>
      <c r="H23" s="35">
        <f t="shared" ref="H23:H31" ca="1" si="3">IFERROR(E23/D23,"N/A")</f>
        <v>2</v>
      </c>
      <c r="I23" s="44">
        <f t="shared" ref="I23:I31" ca="1" si="4">IFERROR(F23/E23,"N/A")</f>
        <v>2.4</v>
      </c>
      <c r="J23" s="35">
        <f t="shared" ref="J23:J31" ca="1" si="5">IFERROR(G23/F23,"N/A")</f>
        <v>0.16666666666666666</v>
      </c>
      <c r="K23" s="7"/>
    </row>
    <row r="24" spans="2:11" ht="22.5" customHeight="1" x14ac:dyDescent="0.4">
      <c r="B24" s="3" t="s">
        <v>13</v>
      </c>
      <c r="C24" s="39" t="s">
        <v>91</v>
      </c>
      <c r="D24" s="5">
        <f t="shared" ca="1" si="0"/>
        <v>10</v>
      </c>
      <c r="E24" s="5">
        <f t="shared" ca="1" si="1"/>
        <v>9</v>
      </c>
      <c r="F24" s="5">
        <f t="shared" ref="F24:G31" ca="1" si="6">RANDBETWEEN(1,100)</f>
        <v>54</v>
      </c>
      <c r="G24" s="5">
        <f t="shared" ca="1" si="6"/>
        <v>73</v>
      </c>
      <c r="H24" s="35">
        <f t="shared" ca="1" si="3"/>
        <v>0.9</v>
      </c>
      <c r="I24" s="44">
        <f t="shared" ca="1" si="4"/>
        <v>6</v>
      </c>
      <c r="J24" s="35">
        <f t="shared" ca="1" si="5"/>
        <v>1.3518518518518519</v>
      </c>
      <c r="K24" s="7"/>
    </row>
    <row r="25" spans="2:11" ht="22.5" customHeight="1" x14ac:dyDescent="0.4">
      <c r="B25" s="3" t="s">
        <v>16</v>
      </c>
      <c r="C25" s="39" t="s">
        <v>91</v>
      </c>
      <c r="D25" s="5">
        <f t="shared" ca="1" si="0"/>
        <v>7</v>
      </c>
      <c r="E25" s="5">
        <f t="shared" ca="1" si="1"/>
        <v>7</v>
      </c>
      <c r="F25" s="5">
        <f t="shared" ca="1" si="6"/>
        <v>74</v>
      </c>
      <c r="G25" s="5">
        <f t="shared" ca="1" si="6"/>
        <v>92</v>
      </c>
      <c r="H25" s="35">
        <f t="shared" ca="1" si="3"/>
        <v>1</v>
      </c>
      <c r="I25" s="44">
        <f t="shared" ca="1" si="4"/>
        <v>10.571428571428571</v>
      </c>
      <c r="J25" s="35">
        <f t="shared" ca="1" si="5"/>
        <v>1.2432432432432432</v>
      </c>
      <c r="K25" s="3"/>
    </row>
    <row r="26" spans="2:11" ht="22.5" customHeight="1" x14ac:dyDescent="0.4">
      <c r="B26" s="3" t="s">
        <v>31</v>
      </c>
      <c r="C26" s="39" t="s">
        <v>91</v>
      </c>
      <c r="D26" s="5">
        <f t="shared" ca="1" si="0"/>
        <v>10</v>
      </c>
      <c r="E26" s="5">
        <f t="shared" ca="1" si="1"/>
        <v>9</v>
      </c>
      <c r="F26" s="5">
        <f t="shared" ca="1" si="6"/>
        <v>26</v>
      </c>
      <c r="G26" s="5">
        <f t="shared" ca="1" si="6"/>
        <v>13</v>
      </c>
      <c r="H26" s="35">
        <f t="shared" ca="1" si="3"/>
        <v>0.9</v>
      </c>
      <c r="I26" s="44">
        <f t="shared" ca="1" si="4"/>
        <v>2.8888888888888888</v>
      </c>
      <c r="J26" s="35">
        <f t="shared" ca="1" si="5"/>
        <v>0.5</v>
      </c>
      <c r="K26" s="3"/>
    </row>
    <row r="27" spans="2:11" ht="22.5" customHeight="1" x14ac:dyDescent="0.4">
      <c r="B27" s="3" t="s">
        <v>18</v>
      </c>
      <c r="C27" s="39" t="s">
        <v>91</v>
      </c>
      <c r="D27" s="5">
        <f t="shared" ca="1" si="0"/>
        <v>4</v>
      </c>
      <c r="E27" s="5">
        <f t="shared" ca="1" si="1"/>
        <v>9</v>
      </c>
      <c r="F27" s="5">
        <f t="shared" ca="1" si="6"/>
        <v>7</v>
      </c>
      <c r="G27" s="5">
        <f t="shared" ca="1" si="6"/>
        <v>22</v>
      </c>
      <c r="H27" s="35">
        <f t="shared" ca="1" si="3"/>
        <v>2.25</v>
      </c>
      <c r="I27" s="44">
        <f t="shared" ca="1" si="4"/>
        <v>0.77777777777777779</v>
      </c>
      <c r="J27" s="35">
        <f t="shared" ca="1" si="5"/>
        <v>3.1428571428571428</v>
      </c>
      <c r="K27" s="3"/>
    </row>
    <row r="28" spans="2:11" ht="22.5" customHeight="1" x14ac:dyDescent="0.4">
      <c r="B28" s="3" t="s">
        <v>20</v>
      </c>
      <c r="C28" s="39" t="s">
        <v>90</v>
      </c>
      <c r="D28" s="5">
        <f t="shared" ca="1" si="0"/>
        <v>7</v>
      </c>
      <c r="E28" s="5">
        <f t="shared" ca="1" si="1"/>
        <v>7</v>
      </c>
      <c r="F28" s="5">
        <f t="shared" ca="1" si="6"/>
        <v>45</v>
      </c>
      <c r="G28" s="5">
        <f t="shared" ca="1" si="6"/>
        <v>61</v>
      </c>
      <c r="H28" s="35">
        <f t="shared" ca="1" si="3"/>
        <v>1</v>
      </c>
      <c r="I28" s="44">
        <f t="shared" ca="1" si="4"/>
        <v>6.4285714285714288</v>
      </c>
      <c r="J28" s="35">
        <f t="shared" ca="1" si="5"/>
        <v>1.3555555555555556</v>
      </c>
      <c r="K28" s="3"/>
    </row>
    <row r="29" spans="2:11" ht="22.5" customHeight="1" x14ac:dyDescent="0.4">
      <c r="B29" s="24" t="s">
        <v>22</v>
      </c>
      <c r="C29" s="39" t="s">
        <v>90</v>
      </c>
      <c r="D29" s="5">
        <f t="shared" ca="1" si="0"/>
        <v>2</v>
      </c>
      <c r="E29" s="5">
        <f t="shared" ca="1" si="1"/>
        <v>10</v>
      </c>
      <c r="F29" s="5">
        <f t="shared" ca="1" si="6"/>
        <v>26</v>
      </c>
      <c r="G29" s="5">
        <f t="shared" ca="1" si="6"/>
        <v>87</v>
      </c>
      <c r="H29" s="35">
        <f t="shared" ca="1" si="3"/>
        <v>5</v>
      </c>
      <c r="I29" s="44">
        <f t="shared" ca="1" si="4"/>
        <v>2.6</v>
      </c>
      <c r="J29" s="35">
        <f t="shared" ca="1" si="5"/>
        <v>3.3461538461538463</v>
      </c>
      <c r="K29" s="3"/>
    </row>
    <row r="30" spans="2:11" ht="22.5" customHeight="1" x14ac:dyDescent="0.4">
      <c r="B30" s="42" t="s">
        <v>24</v>
      </c>
      <c r="C30" s="41" t="s">
        <v>90</v>
      </c>
      <c r="D30" s="5">
        <f t="shared" ca="1" si="0"/>
        <v>7</v>
      </c>
      <c r="E30" s="5">
        <f t="shared" ca="1" si="1"/>
        <v>5</v>
      </c>
      <c r="F30" s="5">
        <f t="shared" ca="1" si="6"/>
        <v>67</v>
      </c>
      <c r="G30" s="5">
        <f t="shared" ca="1" si="6"/>
        <v>59</v>
      </c>
      <c r="H30" s="35">
        <f t="shared" ca="1" si="3"/>
        <v>0.7142857142857143</v>
      </c>
      <c r="I30" s="44">
        <f t="shared" ca="1" si="4"/>
        <v>13.4</v>
      </c>
      <c r="J30" s="35">
        <f t="shared" ca="1" si="5"/>
        <v>0.88059701492537312</v>
      </c>
      <c r="K30" s="8"/>
    </row>
    <row r="31" spans="2:11" ht="22.5" customHeight="1" x14ac:dyDescent="0.4">
      <c r="B31" s="42" t="s">
        <v>36</v>
      </c>
      <c r="C31" s="41" t="s">
        <v>90</v>
      </c>
      <c r="D31" s="5">
        <f t="shared" ca="1" si="0"/>
        <v>2</v>
      </c>
      <c r="E31" s="5">
        <f t="shared" ca="1" si="1"/>
        <v>6</v>
      </c>
      <c r="F31" s="5">
        <f t="shared" ca="1" si="6"/>
        <v>60</v>
      </c>
      <c r="G31" s="5">
        <f t="shared" ca="1" si="6"/>
        <v>21</v>
      </c>
      <c r="H31" s="35">
        <f t="shared" ca="1" si="3"/>
        <v>3</v>
      </c>
      <c r="I31" s="44">
        <f t="shared" ca="1" si="4"/>
        <v>10</v>
      </c>
      <c r="J31" s="35">
        <f t="shared" ca="1" si="5"/>
        <v>0.35</v>
      </c>
      <c r="K31" s="8"/>
    </row>
    <row r="32" spans="2:11" ht="25.5" customHeight="1" x14ac:dyDescent="0.4">
      <c r="B32" s="101" t="s">
        <v>26</v>
      </c>
      <c r="C32" s="102"/>
      <c r="D32" s="36">
        <f ca="1">SUM(D23:D31)</f>
        <v>54</v>
      </c>
      <c r="E32" s="36">
        <f ca="1">SUM(E23:E31)</f>
        <v>72</v>
      </c>
      <c r="F32" s="36">
        <f t="shared" ref="F32:G32" ca="1" si="7">SUM(F23:F31)</f>
        <v>383</v>
      </c>
      <c r="G32" s="36">
        <f t="shared" ca="1" si="7"/>
        <v>432</v>
      </c>
      <c r="H32" s="37">
        <f ca="1">IFERROR(AVERAGE(H23:H31),"N/A")</f>
        <v>1.8626984126984125</v>
      </c>
      <c r="I32" s="37">
        <f ca="1">IFERROR(AVERAGE(I23:I31),"N/A")</f>
        <v>6.1185185185185187</v>
      </c>
      <c r="J32" s="40">
        <f ca="1">IFERROR(AVERAGE(J23:J31),"N/A")</f>
        <v>1.3707694801392978</v>
      </c>
      <c r="K32" s="38"/>
    </row>
  </sheetData>
  <mergeCells count="1">
    <mergeCell ref="B32:C32"/>
  </mergeCells>
  <pageMargins left="0.7" right="0.7" top="0.75" bottom="0.75" header="0.3" footer="0.3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0845-58C7-42B7-B4EA-A8AC239546F8}">
  <sheetPr>
    <tabColor theme="7"/>
  </sheetPr>
  <dimension ref="A1:J11"/>
  <sheetViews>
    <sheetView zoomScaleNormal="100" workbookViewId="0">
      <selection activeCell="A10" sqref="A10"/>
    </sheetView>
  </sheetViews>
  <sheetFormatPr defaultColWidth="9.15234375" defaultRowHeight="14.15" x14ac:dyDescent="0.35"/>
  <cols>
    <col min="1" max="1" width="32" style="45" customWidth="1"/>
    <col min="2" max="2" width="32.15234375" style="45" customWidth="1"/>
    <col min="3" max="3" width="18.3828125" style="45" customWidth="1"/>
    <col min="4" max="5" width="16.84375" style="45" customWidth="1"/>
    <col min="6" max="6" width="15.84375" style="45" customWidth="1"/>
    <col min="7" max="8" width="11.69140625" style="45" customWidth="1"/>
    <col min="9" max="9" width="14" style="45" customWidth="1"/>
    <col min="10" max="10" width="58.84375" style="45" bestFit="1" customWidth="1"/>
    <col min="11" max="16384" width="9.15234375" style="45"/>
  </cols>
  <sheetData>
    <row r="1" spans="1:10" ht="45" x14ac:dyDescent="0.35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</row>
    <row r="2" spans="1:10" ht="48" customHeight="1" x14ac:dyDescent="0.35">
      <c r="A2" s="64" t="s">
        <v>10</v>
      </c>
      <c r="B2" s="65" t="s">
        <v>92</v>
      </c>
      <c r="C2" s="66">
        <v>16</v>
      </c>
      <c r="D2" s="66">
        <v>14</v>
      </c>
      <c r="E2" s="66">
        <v>1</v>
      </c>
      <c r="F2" s="66">
        <v>1</v>
      </c>
      <c r="G2" s="67">
        <f t="shared" ref="G2:G10" si="0">IFERROR(D2/C2,"N/A")</f>
        <v>0.875</v>
      </c>
      <c r="H2" s="68">
        <f t="shared" ref="H2:H10" si="1">IFERROR(E2/D2,"N/A")</f>
        <v>7.1428571428571425E-2</v>
      </c>
      <c r="I2" s="67">
        <f t="shared" ref="I2:I10" si="2">IFERROR(F2/E2,"N/A")</f>
        <v>1</v>
      </c>
      <c r="J2" s="69" t="s">
        <v>93</v>
      </c>
    </row>
    <row r="3" spans="1:10" ht="48" customHeight="1" x14ac:dyDescent="0.35">
      <c r="A3" s="64" t="s">
        <v>13</v>
      </c>
      <c r="B3" s="65" t="s">
        <v>94</v>
      </c>
      <c r="C3" s="66">
        <v>19</v>
      </c>
      <c r="D3" s="66">
        <v>19</v>
      </c>
      <c r="E3" s="66">
        <v>0</v>
      </c>
      <c r="F3" s="66">
        <v>0</v>
      </c>
      <c r="G3" s="67">
        <f t="shared" si="0"/>
        <v>1</v>
      </c>
      <c r="H3" s="68">
        <f t="shared" si="1"/>
        <v>0</v>
      </c>
      <c r="I3" s="67" t="str">
        <f t="shared" si="2"/>
        <v>N/A</v>
      </c>
      <c r="J3" s="69" t="s">
        <v>95</v>
      </c>
    </row>
    <row r="4" spans="1:10" ht="48" customHeight="1" x14ac:dyDescent="0.35">
      <c r="A4" s="64" t="s">
        <v>16</v>
      </c>
      <c r="B4" s="65" t="s">
        <v>94</v>
      </c>
      <c r="C4" s="66">
        <v>45</v>
      </c>
      <c r="D4" s="66">
        <v>36</v>
      </c>
      <c r="E4" s="66">
        <v>0</v>
      </c>
      <c r="F4" s="66">
        <v>0</v>
      </c>
      <c r="G4" s="67">
        <f t="shared" si="0"/>
        <v>0.8</v>
      </c>
      <c r="H4" s="68">
        <f t="shared" si="1"/>
        <v>0</v>
      </c>
      <c r="I4" s="67" t="str">
        <f t="shared" si="2"/>
        <v>N/A</v>
      </c>
      <c r="J4" s="64" t="s">
        <v>96</v>
      </c>
    </row>
    <row r="5" spans="1:10" ht="48" customHeight="1" x14ac:dyDescent="0.35">
      <c r="A5" s="64" t="s">
        <v>31</v>
      </c>
      <c r="B5" s="65" t="s">
        <v>94</v>
      </c>
      <c r="C5" s="66">
        <v>1</v>
      </c>
      <c r="D5" s="66">
        <v>1</v>
      </c>
      <c r="E5" s="66">
        <v>0</v>
      </c>
      <c r="F5" s="66">
        <v>0</v>
      </c>
      <c r="G5" s="67">
        <f t="shared" si="0"/>
        <v>1</v>
      </c>
      <c r="H5" s="68">
        <f t="shared" si="1"/>
        <v>0</v>
      </c>
      <c r="I5" s="67" t="str">
        <f t="shared" si="2"/>
        <v>N/A</v>
      </c>
      <c r="J5" s="69" t="s">
        <v>83</v>
      </c>
    </row>
    <row r="6" spans="1:10" ht="48" customHeight="1" x14ac:dyDescent="0.35">
      <c r="A6" s="64" t="s">
        <v>18</v>
      </c>
      <c r="B6" s="65" t="s">
        <v>94</v>
      </c>
      <c r="C6" s="66">
        <v>27</v>
      </c>
      <c r="D6" s="66">
        <v>27</v>
      </c>
      <c r="E6" s="66">
        <v>0</v>
      </c>
      <c r="F6" s="66">
        <v>0</v>
      </c>
      <c r="G6" s="67">
        <f t="shared" si="0"/>
        <v>1</v>
      </c>
      <c r="H6" s="68">
        <f t="shared" si="1"/>
        <v>0</v>
      </c>
      <c r="I6" s="70" t="str">
        <f t="shared" si="2"/>
        <v>N/A</v>
      </c>
      <c r="J6" s="69" t="s">
        <v>97</v>
      </c>
    </row>
    <row r="7" spans="1:10" ht="48" customHeight="1" x14ac:dyDescent="0.35">
      <c r="A7" s="64" t="s">
        <v>20</v>
      </c>
      <c r="B7" s="65" t="s">
        <v>92</v>
      </c>
      <c r="C7" s="66">
        <v>38</v>
      </c>
      <c r="D7" s="66">
        <v>34</v>
      </c>
      <c r="E7" s="66">
        <v>1</v>
      </c>
      <c r="F7" s="66">
        <v>1</v>
      </c>
      <c r="G7" s="67">
        <f t="shared" si="0"/>
        <v>0.89473684210526316</v>
      </c>
      <c r="H7" s="68">
        <f t="shared" si="1"/>
        <v>2.9411764705882353E-2</v>
      </c>
      <c r="I7" s="70">
        <f t="shared" si="2"/>
        <v>1</v>
      </c>
      <c r="J7" s="71" t="s">
        <v>98</v>
      </c>
    </row>
    <row r="8" spans="1:10" ht="48" customHeight="1" x14ac:dyDescent="0.35">
      <c r="A8" s="72" t="s">
        <v>22</v>
      </c>
      <c r="B8" s="65" t="s">
        <v>92</v>
      </c>
      <c r="C8" s="66">
        <v>23</v>
      </c>
      <c r="D8" s="66">
        <v>22</v>
      </c>
      <c r="E8" s="66">
        <v>1</v>
      </c>
      <c r="F8" s="66">
        <v>1</v>
      </c>
      <c r="G8" s="67">
        <f t="shared" si="0"/>
        <v>0.95652173913043481</v>
      </c>
      <c r="H8" s="68">
        <f t="shared" si="1"/>
        <v>4.5454545454545456E-2</v>
      </c>
      <c r="I8" s="70">
        <f t="shared" si="2"/>
        <v>1</v>
      </c>
      <c r="J8" s="71" t="s">
        <v>99</v>
      </c>
    </row>
    <row r="9" spans="1:10" ht="48" customHeight="1" x14ac:dyDescent="0.35">
      <c r="A9" s="71" t="s">
        <v>24</v>
      </c>
      <c r="B9" s="65" t="s">
        <v>92</v>
      </c>
      <c r="C9" s="66">
        <v>7</v>
      </c>
      <c r="D9" s="66">
        <v>7</v>
      </c>
      <c r="E9" s="66">
        <v>4</v>
      </c>
      <c r="F9" s="66">
        <v>4</v>
      </c>
      <c r="G9" s="67">
        <f t="shared" si="0"/>
        <v>1</v>
      </c>
      <c r="H9" s="68">
        <f t="shared" si="1"/>
        <v>0.5714285714285714</v>
      </c>
      <c r="I9" s="70">
        <f t="shared" si="2"/>
        <v>1</v>
      </c>
      <c r="J9" s="73" t="s">
        <v>100</v>
      </c>
    </row>
    <row r="10" spans="1:10" ht="75" x14ac:dyDescent="0.35">
      <c r="A10" s="71" t="s">
        <v>113</v>
      </c>
      <c r="B10" s="65" t="s">
        <v>101</v>
      </c>
      <c r="C10" s="66">
        <v>215</v>
      </c>
      <c r="D10" s="66">
        <v>241</v>
      </c>
      <c r="E10" s="66">
        <v>0</v>
      </c>
      <c r="F10" s="66">
        <v>0</v>
      </c>
      <c r="G10" s="67">
        <f t="shared" si="0"/>
        <v>1.1209302325581396</v>
      </c>
      <c r="H10" s="68">
        <f t="shared" si="1"/>
        <v>0</v>
      </c>
      <c r="I10" s="70" t="str">
        <f t="shared" si="2"/>
        <v>N/A</v>
      </c>
      <c r="J10" s="74" t="s">
        <v>102</v>
      </c>
    </row>
    <row r="11" spans="1:10" ht="15" x14ac:dyDescent="0.35">
      <c r="A11" s="103" t="s">
        <v>26</v>
      </c>
      <c r="B11" s="104"/>
      <c r="C11" s="75">
        <f>SUM(C2:C10)</f>
        <v>391</v>
      </c>
      <c r="D11" s="75">
        <f>SUM(D2:D10)</f>
        <v>401</v>
      </c>
      <c r="E11" s="75">
        <f>SUM(E2:E10)</f>
        <v>7</v>
      </c>
      <c r="F11" s="75">
        <f>SUM(F2:F10)</f>
        <v>7</v>
      </c>
      <c r="G11" s="76">
        <f>IFERROR(AVERAGE(G2:G10),"N/A")</f>
        <v>0.96079875708820417</v>
      </c>
      <c r="H11" s="77">
        <f>IFERROR(AVERAGE(H2:H10),"N/A")</f>
        <v>7.9747050335285632E-2</v>
      </c>
      <c r="I11" s="76">
        <f>IFERROR(AVERAGE(I2:I10),"N/A")</f>
        <v>1</v>
      </c>
      <c r="J11" s="78"/>
    </row>
  </sheetData>
  <mergeCells count="1">
    <mergeCell ref="A11:B1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0C548-D240-44CF-B415-9F14BFAA4C58}">
  <sheetPr>
    <tabColor theme="7"/>
  </sheetPr>
  <dimension ref="A1:J11"/>
  <sheetViews>
    <sheetView tabSelected="1" zoomScaleNormal="100" workbookViewId="0">
      <selection activeCell="B9" sqref="B9"/>
    </sheetView>
  </sheetViews>
  <sheetFormatPr defaultColWidth="9.15234375" defaultRowHeight="14.15" x14ac:dyDescent="0.35"/>
  <cols>
    <col min="1" max="1" width="50.69140625" style="45" customWidth="1"/>
    <col min="2" max="2" width="32.15234375" style="45" customWidth="1"/>
    <col min="3" max="3" width="18.3828125" style="45" customWidth="1"/>
    <col min="4" max="5" width="16.84375" style="45" customWidth="1"/>
    <col min="6" max="6" width="15.84375" style="45" customWidth="1"/>
    <col min="7" max="8" width="11.69140625" style="45" customWidth="1"/>
    <col min="9" max="9" width="14" style="45" customWidth="1"/>
    <col min="10" max="10" width="58.84375" style="45" bestFit="1" customWidth="1"/>
    <col min="11" max="16384" width="9.15234375" style="45"/>
  </cols>
  <sheetData>
    <row r="1" spans="1:10" ht="45" x14ac:dyDescent="0.35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</row>
    <row r="2" spans="1:10" ht="38.25" customHeight="1" x14ac:dyDescent="0.35">
      <c r="A2" s="64" t="s">
        <v>10</v>
      </c>
      <c r="B2" s="65" t="s">
        <v>103</v>
      </c>
      <c r="C2" s="66">
        <v>26</v>
      </c>
      <c r="D2" s="66">
        <v>26</v>
      </c>
      <c r="E2" s="66">
        <v>0</v>
      </c>
      <c r="F2" s="66">
        <v>0</v>
      </c>
      <c r="G2" s="67">
        <f>IFERROR(D2/C2,"N/A")</f>
        <v>1</v>
      </c>
      <c r="H2" s="68">
        <f t="shared" ref="G2:I10" si="0">IFERROR(E2/D2,"N/A")</f>
        <v>0</v>
      </c>
      <c r="I2" s="67" t="str">
        <f t="shared" si="0"/>
        <v>N/A</v>
      </c>
      <c r="J2" s="69" t="s">
        <v>104</v>
      </c>
    </row>
    <row r="3" spans="1:10" ht="38.25" customHeight="1" x14ac:dyDescent="0.35">
      <c r="A3" s="64" t="s">
        <v>13</v>
      </c>
      <c r="B3" s="65" t="s">
        <v>105</v>
      </c>
      <c r="C3" s="66">
        <v>22</v>
      </c>
      <c r="D3" s="66">
        <v>22</v>
      </c>
      <c r="E3" s="66">
        <v>0</v>
      </c>
      <c r="F3" s="66">
        <v>0</v>
      </c>
      <c r="G3" s="67">
        <f t="shared" si="0"/>
        <v>1</v>
      </c>
      <c r="H3" s="68">
        <f t="shared" si="0"/>
        <v>0</v>
      </c>
      <c r="I3" s="67" t="str">
        <f t="shared" si="0"/>
        <v>N/A</v>
      </c>
      <c r="J3" s="69" t="s">
        <v>106</v>
      </c>
    </row>
    <row r="4" spans="1:10" ht="38.25" customHeight="1" x14ac:dyDescent="0.35">
      <c r="A4" s="64" t="s">
        <v>16</v>
      </c>
      <c r="B4" s="65" t="s">
        <v>105</v>
      </c>
      <c r="C4" s="66">
        <v>132</v>
      </c>
      <c r="D4" s="66">
        <v>132</v>
      </c>
      <c r="E4" s="66">
        <v>1</v>
      </c>
      <c r="F4" s="66">
        <v>1</v>
      </c>
      <c r="G4" s="67">
        <f t="shared" si="0"/>
        <v>1</v>
      </c>
      <c r="H4" s="68">
        <f t="shared" si="0"/>
        <v>7.575757575757576E-3</v>
      </c>
      <c r="I4" s="67">
        <f t="shared" si="0"/>
        <v>1</v>
      </c>
      <c r="J4" s="64" t="s">
        <v>107</v>
      </c>
    </row>
    <row r="5" spans="1:10" ht="38.25" customHeight="1" x14ac:dyDescent="0.35">
      <c r="A5" s="64" t="s">
        <v>31</v>
      </c>
      <c r="B5" s="65" t="s">
        <v>105</v>
      </c>
      <c r="C5" s="66">
        <v>1</v>
      </c>
      <c r="D5" s="66">
        <v>1</v>
      </c>
      <c r="E5" s="66">
        <v>0</v>
      </c>
      <c r="F5" s="66">
        <v>0</v>
      </c>
      <c r="G5" s="67">
        <f t="shared" si="0"/>
        <v>1</v>
      </c>
      <c r="H5" s="68">
        <f t="shared" si="0"/>
        <v>0</v>
      </c>
      <c r="I5" s="67" t="str">
        <f t="shared" si="0"/>
        <v>N/A</v>
      </c>
      <c r="J5" s="69" t="s">
        <v>108</v>
      </c>
    </row>
    <row r="6" spans="1:10" ht="38.25" customHeight="1" x14ac:dyDescent="0.35">
      <c r="A6" s="64" t="s">
        <v>18</v>
      </c>
      <c r="B6" s="65" t="s">
        <v>105</v>
      </c>
      <c r="C6" s="66">
        <v>52</v>
      </c>
      <c r="D6" s="66">
        <v>42</v>
      </c>
      <c r="E6" s="66">
        <v>0</v>
      </c>
      <c r="F6" s="66">
        <v>0</v>
      </c>
      <c r="G6" s="67">
        <f t="shared" si="0"/>
        <v>0.80769230769230771</v>
      </c>
      <c r="H6" s="68">
        <f t="shared" si="0"/>
        <v>0</v>
      </c>
      <c r="I6" s="70" t="str">
        <f t="shared" si="0"/>
        <v>N/A</v>
      </c>
      <c r="J6" s="69" t="s">
        <v>109</v>
      </c>
    </row>
    <row r="7" spans="1:10" ht="60" x14ac:dyDescent="0.35">
      <c r="A7" s="64" t="s">
        <v>20</v>
      </c>
      <c r="B7" s="65" t="s">
        <v>103</v>
      </c>
      <c r="C7" s="66">
        <v>8</v>
      </c>
      <c r="D7" s="66">
        <v>8</v>
      </c>
      <c r="E7" s="66">
        <v>1</v>
      </c>
      <c r="F7" s="66">
        <v>1</v>
      </c>
      <c r="G7" s="67">
        <f t="shared" si="0"/>
        <v>1</v>
      </c>
      <c r="H7" s="68">
        <f t="shared" si="0"/>
        <v>0.125</v>
      </c>
      <c r="I7" s="70">
        <f t="shared" si="0"/>
        <v>1</v>
      </c>
      <c r="J7" s="71" t="s">
        <v>110</v>
      </c>
    </row>
    <row r="8" spans="1:10" ht="38.25" customHeight="1" x14ac:dyDescent="0.35">
      <c r="A8" s="72" t="s">
        <v>22</v>
      </c>
      <c r="B8" s="65" t="s">
        <v>103</v>
      </c>
      <c r="C8" s="66">
        <v>37</v>
      </c>
      <c r="D8" s="66">
        <v>36</v>
      </c>
      <c r="E8" s="66">
        <v>4</v>
      </c>
      <c r="F8" s="66">
        <v>4</v>
      </c>
      <c r="G8" s="67">
        <f t="shared" si="0"/>
        <v>0.97297297297297303</v>
      </c>
      <c r="H8" s="68">
        <f t="shared" si="0"/>
        <v>0.1111111111111111</v>
      </c>
      <c r="I8" s="70">
        <f t="shared" si="0"/>
        <v>1</v>
      </c>
      <c r="J8" s="71" t="s">
        <v>111</v>
      </c>
    </row>
    <row r="9" spans="1:10" ht="38.25" customHeight="1" x14ac:dyDescent="0.35">
      <c r="A9" s="71" t="s">
        <v>24</v>
      </c>
      <c r="B9" s="65" t="s">
        <v>103</v>
      </c>
      <c r="C9" s="66">
        <v>0</v>
      </c>
      <c r="D9" s="66">
        <v>0</v>
      </c>
      <c r="E9" s="66">
        <v>0</v>
      </c>
      <c r="F9" s="66">
        <v>0</v>
      </c>
      <c r="G9" s="67" t="str">
        <f t="shared" si="0"/>
        <v>N/A</v>
      </c>
      <c r="H9" s="68" t="str">
        <f t="shared" si="0"/>
        <v>N/A</v>
      </c>
      <c r="I9" s="70" t="str">
        <f t="shared" si="0"/>
        <v>N/A</v>
      </c>
      <c r="J9" s="73" t="s">
        <v>112</v>
      </c>
    </row>
    <row r="10" spans="1:10" ht="114" customHeight="1" x14ac:dyDescent="0.35">
      <c r="A10" s="71" t="s">
        <v>113</v>
      </c>
      <c r="B10" s="65" t="s">
        <v>114</v>
      </c>
      <c r="C10" s="66">
        <v>238</v>
      </c>
      <c r="D10" s="66">
        <v>256</v>
      </c>
      <c r="E10" s="66">
        <v>0</v>
      </c>
      <c r="F10" s="66">
        <v>0</v>
      </c>
      <c r="G10" s="67">
        <f t="shared" si="0"/>
        <v>1.0756302521008403</v>
      </c>
      <c r="H10" s="68">
        <f t="shared" si="0"/>
        <v>0</v>
      </c>
      <c r="I10" s="70" t="str">
        <f t="shared" si="0"/>
        <v>N/A</v>
      </c>
      <c r="J10" s="74" t="s">
        <v>115</v>
      </c>
    </row>
    <row r="11" spans="1:10" ht="15" x14ac:dyDescent="0.35">
      <c r="A11" s="103" t="s">
        <v>26</v>
      </c>
      <c r="B11" s="104"/>
      <c r="C11" s="75">
        <f>SUM(C2:C10)</f>
        <v>516</v>
      </c>
      <c r="D11" s="75">
        <f>SUM(D2:D10)</f>
        <v>523</v>
      </c>
      <c r="E11" s="75">
        <f>SUM(E2:E10)</f>
        <v>6</v>
      </c>
      <c r="F11" s="75">
        <f>SUM(F2:F10)</f>
        <v>6</v>
      </c>
      <c r="G11" s="76">
        <f>IFERROR(AVERAGE(G2:G10),"N/A")</f>
        <v>0.98203694159576504</v>
      </c>
      <c r="H11" s="77">
        <f>IFERROR(AVERAGE(H2:H10),"N/A")</f>
        <v>3.0460858585858584E-2</v>
      </c>
      <c r="I11" s="76">
        <f>IFERROR(AVERAGE(I2:I10),"N/A")</f>
        <v>1</v>
      </c>
      <c r="J11" s="78"/>
    </row>
  </sheetData>
  <mergeCells count="1">
    <mergeCell ref="A11:B11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628B-C40F-4CB9-9BD8-C0BB1506AAC5}">
  <sheetPr>
    <tabColor theme="7"/>
  </sheetPr>
  <dimension ref="A1:J11"/>
  <sheetViews>
    <sheetView zoomScale="85" zoomScaleNormal="85" workbookViewId="0">
      <selection activeCell="A10" sqref="A10"/>
    </sheetView>
  </sheetViews>
  <sheetFormatPr defaultColWidth="9.15234375" defaultRowHeight="14.15" x14ac:dyDescent="0.35"/>
  <cols>
    <col min="1" max="1" width="50.69140625" style="45" customWidth="1"/>
    <col min="2" max="2" width="26.69140625" style="45" customWidth="1"/>
    <col min="3" max="3" width="18.3828125" style="45" customWidth="1"/>
    <col min="4" max="5" width="16.84375" style="45" customWidth="1"/>
    <col min="6" max="6" width="15.84375" style="45" customWidth="1"/>
    <col min="7" max="8" width="11.69140625" style="45" customWidth="1"/>
    <col min="9" max="9" width="14" style="45" customWidth="1"/>
    <col min="10" max="10" width="58.84375" style="45" bestFit="1" customWidth="1"/>
    <col min="11" max="11" width="11.15234375" style="45" bestFit="1" customWidth="1"/>
    <col min="12" max="16384" width="9.15234375" style="45"/>
  </cols>
  <sheetData>
    <row r="1" spans="1:10" ht="45" x14ac:dyDescent="0.35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</row>
    <row r="2" spans="1:10" ht="38.25" customHeight="1" x14ac:dyDescent="0.35">
      <c r="A2" s="64" t="s">
        <v>10</v>
      </c>
      <c r="B2" s="65" t="s">
        <v>116</v>
      </c>
      <c r="C2" s="66">
        <v>10</v>
      </c>
      <c r="D2" s="66">
        <v>10</v>
      </c>
      <c r="E2" s="66">
        <v>0</v>
      </c>
      <c r="F2" s="66">
        <v>0</v>
      </c>
      <c r="G2" s="67">
        <f>IFERROR(D2/C2,"N/A")</f>
        <v>1</v>
      </c>
      <c r="H2" s="68">
        <f t="shared" ref="G2:I10" si="0">IFERROR(E2/D2,"N/A")</f>
        <v>0</v>
      </c>
      <c r="I2" s="67" t="str">
        <f t="shared" si="0"/>
        <v>N/A</v>
      </c>
      <c r="J2" s="69" t="s">
        <v>117</v>
      </c>
    </row>
    <row r="3" spans="1:10" ht="38.25" customHeight="1" x14ac:dyDescent="0.35">
      <c r="A3" s="64" t="s">
        <v>13</v>
      </c>
      <c r="B3" s="65" t="s">
        <v>118</v>
      </c>
      <c r="C3" s="66">
        <v>19</v>
      </c>
      <c r="D3" s="66">
        <v>17</v>
      </c>
      <c r="E3" s="66">
        <v>0</v>
      </c>
      <c r="F3" s="66">
        <v>0</v>
      </c>
      <c r="G3" s="67">
        <f t="shared" si="0"/>
        <v>0.89473684210526316</v>
      </c>
      <c r="H3" s="68">
        <f t="shared" si="0"/>
        <v>0</v>
      </c>
      <c r="I3" s="67" t="str">
        <f t="shared" si="0"/>
        <v>N/A</v>
      </c>
      <c r="J3" s="69" t="s">
        <v>119</v>
      </c>
    </row>
    <row r="4" spans="1:10" ht="38.25" customHeight="1" x14ac:dyDescent="0.35">
      <c r="A4" s="64" t="s">
        <v>16</v>
      </c>
      <c r="B4" s="65" t="s">
        <v>118</v>
      </c>
      <c r="C4" s="66">
        <v>132</v>
      </c>
      <c r="D4" s="66">
        <v>128</v>
      </c>
      <c r="E4" s="66">
        <v>1</v>
      </c>
      <c r="F4" s="66">
        <v>1</v>
      </c>
      <c r="G4" s="67">
        <f t="shared" si="0"/>
        <v>0.96969696969696972</v>
      </c>
      <c r="H4" s="68">
        <f t="shared" si="0"/>
        <v>7.8125E-3</v>
      </c>
      <c r="I4" s="67">
        <f t="shared" si="0"/>
        <v>1</v>
      </c>
      <c r="J4" s="64" t="s">
        <v>120</v>
      </c>
    </row>
    <row r="5" spans="1:10" ht="38.25" customHeight="1" x14ac:dyDescent="0.35">
      <c r="A5" s="64" t="s">
        <v>31</v>
      </c>
      <c r="B5" s="65" t="s">
        <v>118</v>
      </c>
      <c r="C5" s="66">
        <v>1</v>
      </c>
      <c r="D5" s="66">
        <v>1</v>
      </c>
      <c r="E5" s="66">
        <v>0</v>
      </c>
      <c r="F5" s="66">
        <v>0</v>
      </c>
      <c r="G5" s="67">
        <f t="shared" si="0"/>
        <v>1</v>
      </c>
      <c r="H5" s="68">
        <f t="shared" si="0"/>
        <v>0</v>
      </c>
      <c r="I5" s="67" t="str">
        <f t="shared" si="0"/>
        <v>N/A</v>
      </c>
      <c r="J5" s="69" t="s">
        <v>121</v>
      </c>
    </row>
    <row r="6" spans="1:10" ht="38.25" customHeight="1" x14ac:dyDescent="0.35">
      <c r="A6" s="64" t="s">
        <v>18</v>
      </c>
      <c r="B6" s="65" t="s">
        <v>118</v>
      </c>
      <c r="C6" s="66">
        <v>12</v>
      </c>
      <c r="D6" s="66">
        <v>8</v>
      </c>
      <c r="E6" s="66">
        <v>0</v>
      </c>
      <c r="F6" s="66">
        <v>0</v>
      </c>
      <c r="G6" s="67">
        <f t="shared" si="0"/>
        <v>0.66666666666666663</v>
      </c>
      <c r="H6" s="68">
        <f t="shared" si="0"/>
        <v>0</v>
      </c>
      <c r="I6" s="70" t="str">
        <f t="shared" si="0"/>
        <v>N/A</v>
      </c>
      <c r="J6" s="69" t="s">
        <v>122</v>
      </c>
    </row>
    <row r="7" spans="1:10" ht="48.75" customHeight="1" x14ac:dyDescent="0.35">
      <c r="A7" s="64" t="s">
        <v>20</v>
      </c>
      <c r="B7" s="65" t="s">
        <v>116</v>
      </c>
      <c r="C7" s="66">
        <v>35</v>
      </c>
      <c r="D7" s="66">
        <v>35</v>
      </c>
      <c r="E7" s="66">
        <v>0</v>
      </c>
      <c r="F7" s="66">
        <v>0</v>
      </c>
      <c r="G7" s="67">
        <f t="shared" si="0"/>
        <v>1</v>
      </c>
      <c r="H7" s="68">
        <f t="shared" si="0"/>
        <v>0</v>
      </c>
      <c r="I7" s="70" t="str">
        <f t="shared" si="0"/>
        <v>N/A</v>
      </c>
      <c r="J7" s="69" t="s">
        <v>106</v>
      </c>
    </row>
    <row r="8" spans="1:10" ht="52.5" customHeight="1" x14ac:dyDescent="0.35">
      <c r="A8" s="72" t="s">
        <v>22</v>
      </c>
      <c r="B8" s="65" t="s">
        <v>116</v>
      </c>
      <c r="C8" s="66">
        <v>15</v>
      </c>
      <c r="D8" s="66">
        <v>12</v>
      </c>
      <c r="E8" s="66">
        <v>1</v>
      </c>
      <c r="F8" s="66">
        <v>1</v>
      </c>
      <c r="G8" s="67">
        <f t="shared" si="0"/>
        <v>0.8</v>
      </c>
      <c r="H8" s="68">
        <f t="shared" si="0"/>
        <v>8.3333333333333329E-2</v>
      </c>
      <c r="I8" s="70">
        <f t="shared" si="0"/>
        <v>1</v>
      </c>
      <c r="J8" s="71" t="s">
        <v>123</v>
      </c>
    </row>
    <row r="9" spans="1:10" ht="91.5" customHeight="1" x14ac:dyDescent="0.35">
      <c r="A9" s="71" t="s">
        <v>24</v>
      </c>
      <c r="B9" s="65" t="s">
        <v>116</v>
      </c>
      <c r="C9" s="66">
        <v>0</v>
      </c>
      <c r="D9" s="66">
        <v>0</v>
      </c>
      <c r="E9" s="66">
        <v>0</v>
      </c>
      <c r="F9" s="66">
        <v>0</v>
      </c>
      <c r="G9" s="67" t="str">
        <f t="shared" si="0"/>
        <v>N/A</v>
      </c>
      <c r="H9" s="68" t="str">
        <f t="shared" si="0"/>
        <v>N/A</v>
      </c>
      <c r="I9" s="70" t="str">
        <f t="shared" si="0"/>
        <v>N/A</v>
      </c>
      <c r="J9" s="73" t="s">
        <v>124</v>
      </c>
    </row>
    <row r="10" spans="1:10" ht="96" customHeight="1" x14ac:dyDescent="0.35">
      <c r="A10" s="71" t="s">
        <v>113</v>
      </c>
      <c r="B10" s="65" t="s">
        <v>125</v>
      </c>
      <c r="C10" s="66">
        <v>255</v>
      </c>
      <c r="D10" s="66">
        <v>297</v>
      </c>
      <c r="E10" s="66">
        <v>0</v>
      </c>
      <c r="F10" s="66">
        <v>0</v>
      </c>
      <c r="G10" s="67">
        <f t="shared" si="0"/>
        <v>1.1647058823529413</v>
      </c>
      <c r="H10" s="68">
        <f t="shared" si="0"/>
        <v>0</v>
      </c>
      <c r="I10" s="70" t="str">
        <f t="shared" si="0"/>
        <v>N/A</v>
      </c>
      <c r="J10" s="74" t="s">
        <v>126</v>
      </c>
    </row>
    <row r="11" spans="1:10" ht="30.75" customHeight="1" x14ac:dyDescent="0.35">
      <c r="A11" s="103" t="s">
        <v>26</v>
      </c>
      <c r="B11" s="104"/>
      <c r="C11" s="75">
        <f>SUM(C2:C10)</f>
        <v>479</v>
      </c>
      <c r="D11" s="75">
        <f>SUM(D2:D10)</f>
        <v>508</v>
      </c>
      <c r="E11" s="75">
        <f>SUM(E2:E10)</f>
        <v>2</v>
      </c>
      <c r="F11" s="75">
        <f>SUM(F2:F10)</f>
        <v>2</v>
      </c>
      <c r="G11" s="76">
        <f>IFERROR(AVERAGE(G2:G10),"N/A")</f>
        <v>0.9369757951027301</v>
      </c>
      <c r="H11" s="77">
        <f>IFERROR(AVERAGE(H2:H10),"N/A")</f>
        <v>1.1393229166666666E-2</v>
      </c>
      <c r="I11" s="76">
        <f>IFERROR(AVERAGE(I2:I10),"N/A")</f>
        <v>1</v>
      </c>
      <c r="J11" s="78"/>
    </row>
  </sheetData>
  <mergeCells count="1">
    <mergeCell ref="A11:B1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C2141999F3A34989E45D589C11CC4C" ma:contentTypeVersion="4" ma:contentTypeDescription="Create a new document." ma:contentTypeScope="" ma:versionID="918556ba9ccfead8ca9357386d544127">
  <xsd:schema xmlns:xsd="http://www.w3.org/2001/XMLSchema" xmlns:xs="http://www.w3.org/2001/XMLSchema" xmlns:p="http://schemas.microsoft.com/office/2006/metadata/properties" xmlns:ns2="65d4c795-5362-4472-a968-0591b4901adb" targetNamespace="http://schemas.microsoft.com/office/2006/metadata/properties" ma:root="true" ma:fieldsID="c530c116c4dd2fcce78a168facf9756a" ns2:_="">
    <xsd:import namespace="65d4c795-5362-4472-a968-0591b4901a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d4c795-5362-4472-a968-0591b4901a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F5AA3E-5A11-41C2-A689-B9F5DAF314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d4c795-5362-4472-a968-0591b4901a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EEDA73-8B6B-4F61-82BF-6CC2097B50B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4FC4B52-E37B-45F0-B4A0-9948E136C1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18 Sep 25</vt:lpstr>
      <vt:lpstr>25 Sep 25</vt:lpstr>
      <vt:lpstr>Draft</vt:lpstr>
      <vt:lpstr>Test</vt:lpstr>
      <vt:lpstr>02 Oct 25</vt:lpstr>
      <vt:lpstr>Draft V.2</vt:lpstr>
      <vt:lpstr>09 Oct 25</vt:lpstr>
      <vt:lpstr>16 Oct 25</vt:lpstr>
      <vt:lpstr>23 Oct 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Mahfudin</dc:creator>
  <cp:keywords/>
  <dc:description/>
  <cp:lastModifiedBy>Mahfudin</cp:lastModifiedBy>
  <cp:revision/>
  <dcterms:created xsi:type="dcterms:W3CDTF">2025-07-08T07:30:14Z</dcterms:created>
  <dcterms:modified xsi:type="dcterms:W3CDTF">2025-10-23T04:13:52Z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0x0101004DC2141999F3A34989E45D589C11CC4C</vt:lpwstr>
  </property>
</Properties>
</file>