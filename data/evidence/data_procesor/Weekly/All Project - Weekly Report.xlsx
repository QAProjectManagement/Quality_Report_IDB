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ThisWorkbook"/>
  <mc:AlternateContent xmlns:mc="http://schemas.openxmlformats.org/markup-compatibility/2006">
    <mc:Choice Requires="x15">
      <x15ac:absPath xmlns:x15ac="http://schemas.microsoft.com/office/spreadsheetml/2010/11/ac" url="C:\Users\LGSM065\OneDrive - LG CNS\QA IDB\Report\Quality Report\Weekly\"/>
    </mc:Choice>
  </mc:AlternateContent>
  <xr:revisionPtr revIDLastSave="0" documentId="8_{2896CE87-E831-4A89-B6E8-ED334B32A3EC}" xr6:coauthVersionLast="47" xr6:coauthVersionMax="47" xr10:uidLastSave="{00000000-0000-0000-0000-000000000000}"/>
  <bookViews>
    <workbookView xWindow="-103" yWindow="-103" windowWidth="24892" windowHeight="14914" tabRatio="560" firstSheet="10" activeTab="10" xr2:uid="{1BFDC0BB-3264-4789-A41B-B16DE7BD9ED5}"/>
  </bookViews>
  <sheets>
    <sheet name="18 Sep 25" sheetId="20" r:id="rId1"/>
    <sheet name="25 Sep 25" sheetId="21" r:id="rId2"/>
    <sheet name="Draft" sheetId="22" state="hidden" r:id="rId3"/>
    <sheet name="Test" sheetId="23" state="hidden" r:id="rId4"/>
    <sheet name="02 Oct 25" sheetId="24" r:id="rId5"/>
    <sheet name="Draft V.2" sheetId="25" state="hidden" r:id="rId6"/>
    <sheet name="09 Oct 25" sheetId="28" r:id="rId7"/>
    <sheet name="16 Oct 25" sheetId="29" r:id="rId8"/>
    <sheet name="23 Oct 25" sheetId="30" r:id="rId9"/>
    <sheet name="30 Oct 25" sheetId="32" r:id="rId10"/>
    <sheet name="06 Nov 25" sheetId="31"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32" l="1"/>
  <c r="E10" i="32"/>
  <c r="D10" i="32"/>
  <c r="C10" i="32"/>
  <c r="I9" i="32"/>
  <c r="H9" i="32"/>
  <c r="G9" i="32"/>
  <c r="I8" i="32"/>
  <c r="H8" i="32"/>
  <c r="G8" i="32"/>
  <c r="I7" i="32"/>
  <c r="H7" i="32"/>
  <c r="G7" i="32"/>
  <c r="I6" i="32"/>
  <c r="H6" i="32"/>
  <c r="G6" i="32"/>
  <c r="I5" i="32"/>
  <c r="H5" i="32"/>
  <c r="G5" i="32"/>
  <c r="I4" i="32"/>
  <c r="H4" i="32"/>
  <c r="G4" i="32"/>
  <c r="I3" i="32"/>
  <c r="H3" i="32"/>
  <c r="G3" i="32"/>
  <c r="I2" i="32"/>
  <c r="I10" i="32" s="1"/>
  <c r="H2" i="32"/>
  <c r="H10" i="32" s="1"/>
  <c r="G2" i="32"/>
  <c r="G10" i="32" s="1"/>
  <c r="G2" i="31"/>
  <c r="H2" i="31"/>
  <c r="I2" i="31"/>
  <c r="G3" i="31"/>
  <c r="H3" i="31"/>
  <c r="I3" i="31"/>
  <c r="G4" i="31"/>
  <c r="H4" i="31"/>
  <c r="I4" i="31"/>
  <c r="G5" i="31"/>
  <c r="H5" i="31"/>
  <c r="I5" i="31"/>
  <c r="G6" i="31"/>
  <c r="H6" i="31"/>
  <c r="I6" i="31"/>
  <c r="G7" i="31"/>
  <c r="H7" i="31"/>
  <c r="I7" i="31"/>
  <c r="G8" i="31"/>
  <c r="H8" i="31"/>
  <c r="I8" i="31"/>
  <c r="G9" i="31"/>
  <c r="H9" i="31"/>
  <c r="I9" i="31"/>
  <c r="C10" i="31"/>
  <c r="D10" i="31"/>
  <c r="E10" i="31"/>
  <c r="F10" i="31"/>
  <c r="G10" i="31"/>
  <c r="H10" i="31"/>
  <c r="I10" i="31"/>
  <c r="I10" i="30"/>
  <c r="H10" i="30"/>
  <c r="G10" i="30"/>
  <c r="I9" i="30"/>
  <c r="H9" i="30"/>
  <c r="G9" i="30"/>
  <c r="I8" i="30"/>
  <c r="H8" i="30"/>
  <c r="G8" i="30"/>
  <c r="I7" i="30"/>
  <c r="H7" i="30"/>
  <c r="G7" i="30"/>
  <c r="I6" i="30"/>
  <c r="H6" i="30"/>
  <c r="G6" i="30"/>
  <c r="I5" i="30"/>
  <c r="H5" i="30"/>
  <c r="G5" i="30"/>
  <c r="I4" i="30"/>
  <c r="H4" i="30"/>
  <c r="G4" i="30"/>
  <c r="I3" i="30"/>
  <c r="H3" i="30"/>
  <c r="G3" i="30"/>
  <c r="I2" i="30"/>
  <c r="H2" i="30"/>
  <c r="G2" i="30"/>
  <c r="F9" i="20"/>
  <c r="E9" i="20"/>
  <c r="D9" i="20"/>
  <c r="C9" i="20"/>
  <c r="I8" i="20"/>
  <c r="H8" i="20"/>
  <c r="G8" i="20"/>
  <c r="I7" i="20"/>
  <c r="H7" i="20"/>
  <c r="G7" i="20"/>
  <c r="I6" i="20"/>
  <c r="H6" i="20"/>
  <c r="G6" i="20"/>
  <c r="I5" i="20"/>
  <c r="H5" i="20"/>
  <c r="G5" i="20"/>
  <c r="I4" i="20"/>
  <c r="H4" i="20"/>
  <c r="G4" i="20"/>
  <c r="I3" i="20"/>
  <c r="H3" i="20"/>
  <c r="G3" i="20"/>
  <c r="I2" i="20"/>
  <c r="H2" i="20"/>
  <c r="G2" i="20"/>
  <c r="F11" i="21"/>
  <c r="E11" i="21"/>
  <c r="D11" i="21"/>
  <c r="C11" i="21"/>
  <c r="I10" i="21"/>
  <c r="H10" i="21"/>
  <c r="G10" i="21"/>
  <c r="I9" i="21"/>
  <c r="H9" i="21"/>
  <c r="G9" i="21"/>
  <c r="I8" i="21"/>
  <c r="H8" i="21"/>
  <c r="G8" i="21"/>
  <c r="I7" i="21"/>
  <c r="H7" i="21"/>
  <c r="G7" i="21"/>
  <c r="I6" i="21"/>
  <c r="H6" i="21"/>
  <c r="G6" i="21"/>
  <c r="I5" i="21"/>
  <c r="H5" i="21"/>
  <c r="G5" i="21"/>
  <c r="I4" i="21"/>
  <c r="H4" i="21"/>
  <c r="G4" i="21"/>
  <c r="I3" i="21"/>
  <c r="H3" i="21"/>
  <c r="G3" i="21"/>
  <c r="I2" i="21"/>
  <c r="H2" i="21"/>
  <c r="G2" i="21"/>
  <c r="F11" i="30"/>
  <c r="E11" i="30"/>
  <c r="D11" i="30"/>
  <c r="C11" i="30"/>
  <c r="I11" i="30"/>
  <c r="H11" i="30"/>
  <c r="G11" i="30"/>
  <c r="G2" i="29"/>
  <c r="F11" i="29"/>
  <c r="C11" i="29"/>
  <c r="E11" i="29"/>
  <c r="D11" i="29"/>
  <c r="I10" i="29"/>
  <c r="H10" i="29"/>
  <c r="G10" i="29"/>
  <c r="I9" i="29"/>
  <c r="H9" i="29"/>
  <c r="G9" i="29"/>
  <c r="I8" i="29"/>
  <c r="H8" i="29"/>
  <c r="G8" i="29"/>
  <c r="I7" i="29"/>
  <c r="H7" i="29"/>
  <c r="G7" i="29"/>
  <c r="I6" i="29"/>
  <c r="H6" i="29"/>
  <c r="G6" i="29"/>
  <c r="I5" i="29"/>
  <c r="H5" i="29"/>
  <c r="G5" i="29"/>
  <c r="I4" i="29"/>
  <c r="H4" i="29"/>
  <c r="G4" i="29"/>
  <c r="I3" i="29"/>
  <c r="H3" i="29"/>
  <c r="G3" i="29"/>
  <c r="I2" i="29"/>
  <c r="H2" i="29"/>
  <c r="I2" i="28"/>
  <c r="H2" i="28"/>
  <c r="I7" i="28"/>
  <c r="G8" i="24"/>
  <c r="G2" i="28"/>
  <c r="G3" i="28"/>
  <c r="H3" i="28"/>
  <c r="I3" i="28"/>
  <c r="G4" i="28"/>
  <c r="H4" i="28"/>
  <c r="I4" i="28"/>
  <c r="G5" i="28"/>
  <c r="H5" i="28"/>
  <c r="I5" i="28"/>
  <c r="G6" i="28"/>
  <c r="H6" i="28"/>
  <c r="I6" i="28"/>
  <c r="G7" i="28"/>
  <c r="H7" i="28"/>
  <c r="G8" i="28"/>
  <c r="H8" i="28"/>
  <c r="I8" i="28"/>
  <c r="G9" i="28"/>
  <c r="H9" i="28"/>
  <c r="I9" i="28"/>
  <c r="G10" i="28"/>
  <c r="H10" i="28"/>
  <c r="I10" i="28"/>
  <c r="C11" i="28"/>
  <c r="D11" i="28"/>
  <c r="E11" i="28"/>
  <c r="F11" i="28"/>
  <c r="D24" i="25"/>
  <c r="E24" i="25"/>
  <c r="D25" i="25"/>
  <c r="E25" i="25"/>
  <c r="D26" i="25"/>
  <c r="E26" i="25"/>
  <c r="D27" i="25"/>
  <c r="E27" i="25"/>
  <c r="D28" i="25"/>
  <c r="E28" i="25"/>
  <c r="D29" i="25"/>
  <c r="E29" i="25"/>
  <c r="D30" i="25"/>
  <c r="E30" i="25"/>
  <c r="D31" i="25"/>
  <c r="E31" i="25"/>
  <c r="E23" i="25"/>
  <c r="D23" i="25"/>
  <c r="F23" i="25"/>
  <c r="G23" i="25"/>
  <c r="F24" i="25"/>
  <c r="G24" i="25"/>
  <c r="F25" i="25"/>
  <c r="G25" i="25"/>
  <c r="F26" i="25"/>
  <c r="G26" i="25"/>
  <c r="F27" i="25"/>
  <c r="G27" i="25"/>
  <c r="F28" i="25"/>
  <c r="G28" i="25"/>
  <c r="F29" i="25"/>
  <c r="G29" i="25"/>
  <c r="F30" i="25"/>
  <c r="G30" i="25"/>
  <c r="F31" i="25"/>
  <c r="G31" i="25"/>
  <c r="I4" i="24"/>
  <c r="I5" i="24"/>
  <c r="I8" i="24"/>
  <c r="G2" i="24"/>
  <c r="E32" i="23"/>
  <c r="E23" i="23"/>
  <c r="D23" i="23"/>
  <c r="E31" i="23"/>
  <c r="E29" i="23"/>
  <c r="E33" i="23"/>
  <c r="D24" i="23"/>
  <c r="D25" i="23"/>
  <c r="D26" i="23"/>
  <c r="D27" i="23"/>
  <c r="D28" i="23"/>
  <c r="D29" i="23"/>
  <c r="D30" i="23"/>
  <c r="C2" i="23" s="1"/>
  <c r="D31" i="23"/>
  <c r="D32" i="23"/>
  <c r="D33" i="23"/>
  <c r="D34" i="23"/>
  <c r="D35" i="23"/>
  <c r="D36" i="23"/>
  <c r="D37" i="23"/>
  <c r="E24" i="23"/>
  <c r="E25" i="23"/>
  <c r="E26" i="23"/>
  <c r="E27" i="23"/>
  <c r="E28" i="23"/>
  <c r="E30" i="23"/>
  <c r="E34" i="23"/>
  <c r="E35" i="23"/>
  <c r="E36" i="23"/>
  <c r="E37" i="23"/>
  <c r="C4" i="22"/>
  <c r="C3" i="22"/>
  <c r="C2" i="22"/>
  <c r="G11" i="29" l="1"/>
  <c r="H11" i="29"/>
  <c r="I11" i="29"/>
  <c r="G9" i="20"/>
  <c r="H9" i="20"/>
  <c r="I9" i="20"/>
  <c r="I11" i="21"/>
  <c r="G11" i="21"/>
  <c r="H11" i="21"/>
  <c r="I11" i="28"/>
  <c r="H11" i="28"/>
  <c r="G11" i="28"/>
  <c r="J28" i="25"/>
  <c r="J30" i="25"/>
  <c r="H29" i="25"/>
  <c r="I23" i="25"/>
  <c r="I31" i="25"/>
  <c r="J31" i="25"/>
  <c r="H31" i="25"/>
  <c r="J23" i="25"/>
  <c r="H27" i="25"/>
  <c r="H25" i="25"/>
  <c r="J29" i="25"/>
  <c r="J27" i="25"/>
  <c r="J24" i="25"/>
  <c r="H30" i="25"/>
  <c r="H28" i="25"/>
  <c r="I26" i="25"/>
  <c r="J25" i="25"/>
  <c r="H24" i="25"/>
  <c r="D32" i="25"/>
  <c r="C2" i="25" s="1"/>
  <c r="J26" i="25"/>
  <c r="I25" i="25"/>
  <c r="I29" i="25"/>
  <c r="I27" i="25"/>
  <c r="H26" i="25"/>
  <c r="I24" i="25"/>
  <c r="G32" i="25"/>
  <c r="F32" i="25"/>
  <c r="H23" i="25"/>
  <c r="E32" i="25"/>
  <c r="C3" i="25" s="1"/>
  <c r="I30" i="25"/>
  <c r="I28" i="25"/>
  <c r="I9" i="24"/>
  <c r="H6" i="24"/>
  <c r="H4" i="24"/>
  <c r="H5" i="24"/>
  <c r="I10" i="24"/>
  <c r="I3" i="24"/>
  <c r="H3" i="24"/>
  <c r="G3" i="24"/>
  <c r="H2" i="24"/>
  <c r="H10" i="24"/>
  <c r="H9" i="24"/>
  <c r="H7" i="24"/>
  <c r="G10" i="24"/>
  <c r="G4" i="24"/>
  <c r="G9" i="24"/>
  <c r="G7" i="24"/>
  <c r="G5" i="24"/>
  <c r="I6" i="24"/>
  <c r="E11" i="24"/>
  <c r="I7" i="24"/>
  <c r="G6" i="24"/>
  <c r="F11" i="24"/>
  <c r="H8" i="24"/>
  <c r="D11" i="24"/>
  <c r="I2" i="24"/>
  <c r="C11" i="24"/>
  <c r="F28" i="23"/>
  <c r="G28" i="23" s="1"/>
  <c r="F27" i="23"/>
  <c r="G27" i="23" s="1"/>
  <c r="F26" i="23"/>
  <c r="G26" i="23" s="1"/>
  <c r="F25" i="23"/>
  <c r="G25" i="23" s="1"/>
  <c r="F24" i="23"/>
  <c r="G24" i="23" s="1"/>
  <c r="F23" i="23"/>
  <c r="G23" i="23" s="1"/>
  <c r="F36" i="23"/>
  <c r="G36" i="23" s="1"/>
  <c r="F34" i="23"/>
  <c r="G34" i="23" s="1"/>
  <c r="F37" i="23"/>
  <c r="G37" i="23" s="1"/>
  <c r="F35" i="23"/>
  <c r="G35" i="23" s="1"/>
  <c r="F31" i="23"/>
  <c r="G31" i="23" s="1"/>
  <c r="F32" i="23"/>
  <c r="G32" i="23" s="1"/>
  <c r="F29" i="23"/>
  <c r="G29" i="23" s="1"/>
  <c r="F30" i="23"/>
  <c r="G30" i="23" s="1"/>
  <c r="C4" i="23" s="1"/>
  <c r="F33" i="23"/>
  <c r="G33" i="23" s="1"/>
  <c r="I11" i="24" l="1"/>
  <c r="J32" i="25"/>
  <c r="C4" i="25" s="1"/>
  <c r="H32" i="25"/>
  <c r="I32" i="25"/>
  <c r="G11" i="24"/>
  <c r="H11" i="24"/>
  <c r="C3" i="23"/>
</calcChain>
</file>

<file path=xl/sharedStrings.xml><?xml version="1.0" encoding="utf-8"?>
<sst xmlns="http://schemas.openxmlformats.org/spreadsheetml/2006/main" count="403" uniqueCount="150">
  <si>
    <t>Project Name</t>
  </si>
  <si>
    <t>Period</t>
  </si>
  <si>
    <t>Total Workload (Planned)</t>
  </si>
  <si>
    <t>Completed Workload (Actual)</t>
  </si>
  <si>
    <t>Defect Found</t>
  </si>
  <si>
    <t>Defect Fixed</t>
  </si>
  <si>
    <t>Productivity Rate</t>
  </si>
  <si>
    <t>Defect Density</t>
  </si>
  <si>
    <t>Defect Correction Rate</t>
  </si>
  <si>
    <t>Issue/ Risk/ Note</t>
  </si>
  <si>
    <t>Purchasing Enhancement Project</t>
  </si>
  <si>
    <t>8 ~ 12 Sep 25</t>
  </si>
  <si>
    <t>1 Subtask, and 4 Bugs already resolved</t>
  </si>
  <si>
    <t>SF Automation 2025</t>
  </si>
  <si>
    <t>4 ~ 10 Sep 25</t>
  </si>
  <si>
    <t>8 task finish</t>
  </si>
  <si>
    <t>SF Core Unit 2025</t>
  </si>
  <si>
    <t>9 tasks and 2 stories have been completed, and 1 bug has been fixed.</t>
  </si>
  <si>
    <t>SF Process DX Team 2025</t>
  </si>
  <si>
    <t>Finish 3 task, 1 Task still in progress</t>
  </si>
  <si>
    <t>SINGLEX Business Unit Testing Project</t>
  </si>
  <si>
    <t>25 SSR have completed testing, while 1 SSR is still inprogress testing due to prioritizing the completion of a hotfix ticket that needs to be deployed first.</t>
  </si>
  <si>
    <t>KB Bank System Maintenance</t>
  </si>
  <si>
    <t>5 tasks have been completed by LGSM Team, and after this the Banking Team will do Testing. And 1 bug already fixed</t>
  </si>
  <si>
    <t>LGSM Career Job Portal</t>
  </si>
  <si>
    <t>One complex defect is currently being resolved. It is not considered a blocker, with an estimated completion date of next week.</t>
  </si>
  <si>
    <t>Total</t>
  </si>
  <si>
    <t>15 ~ 19 Sep 25</t>
  </si>
  <si>
    <t>Finish all request</t>
  </si>
  <si>
    <t>11 ~ 17 Sep 25</t>
  </si>
  <si>
    <t>There are some tasks that have more than 20 sub-tasks, which means their workload is quite large.</t>
  </si>
  <si>
    <t>SF Manufacture DX Team 2025</t>
  </si>
  <si>
    <t>27 task already finish, no bug found.</t>
  </si>
  <si>
    <t xml:space="preserve">24 SSR ticket already finish, 4 defect found already created ticket and still fixing by developer </t>
  </si>
  <si>
    <t>Several tasks in In Development status are due at the end of October 2025 because they have a large workload.</t>
  </si>
  <si>
    <t>Resolved 17 bugs. Completed 8 user stories. Finished 8 sub-tasks.</t>
  </si>
  <si>
    <t>Bank Sinarmas Project</t>
  </si>
  <si>
    <t>The plan was 159 tasks, but the team completed 170 because some tasks were finished faster than expected and a few priorities were accelerated. So the team slightly overachieved the target.</t>
  </si>
  <si>
    <t>Total Workload</t>
  </si>
  <si>
    <t>Completed Workload</t>
  </si>
  <si>
    <t>Averange Productivity Rate</t>
  </si>
  <si>
    <t>Weekly Period</t>
  </si>
  <si>
    <t>Comment</t>
  </si>
  <si>
    <t>Hakim</t>
  </si>
  <si>
    <t>[LGUS] Purchasing Enhancement Project</t>
  </si>
  <si>
    <t>Wirework</t>
  </si>
  <si>
    <t>GDC Smart Factory - SF Automation 2025</t>
  </si>
  <si>
    <t>GDC Smart Factory - SF Core Unit 2025</t>
  </si>
  <si>
    <t>Close</t>
  </si>
  <si>
    <t>GDC SF Intelligent Unit Testing Project</t>
  </si>
  <si>
    <t>GDC Smart Factory - SF Manufacturing DX Team 2025</t>
  </si>
  <si>
    <t>GDC Smart Factory - SF Process DX Team 2025</t>
  </si>
  <si>
    <t>Candra</t>
  </si>
  <si>
    <t>GDC SINGLEX Business Unit Testing Project</t>
  </si>
  <si>
    <t>Virza</t>
  </si>
  <si>
    <r>
      <t xml:space="preserve">Network Installation for New Tobacco Factory of </t>
    </r>
    <r>
      <rPr>
        <b/>
        <sz val="10"/>
        <color rgb="FF000000"/>
        <rFont val="Aptos Narrow"/>
        <scheme val="minor"/>
      </rPr>
      <t xml:space="preserve">KT&amp;G </t>
    </r>
  </si>
  <si>
    <t>Andika</t>
  </si>
  <si>
    <t>SHINE NGBS KB Bank System Maintenance</t>
  </si>
  <si>
    <t>#</t>
  </si>
  <si>
    <t>HLI</t>
  </si>
  <si>
    <t>Andini</t>
  </si>
  <si>
    <t>[Bank Sinarmas] Provision of Service of Card Management System</t>
  </si>
  <si>
    <t>GDC SF Solution Unit Quality DX Team Project 2025</t>
  </si>
  <si>
    <t>Sapta</t>
  </si>
  <si>
    <t>Job Portal</t>
  </si>
  <si>
    <t>Victor</t>
  </si>
  <si>
    <t>SMX01 Data Center MEP Project</t>
  </si>
  <si>
    <t>Sabian</t>
  </si>
  <si>
    <t>LG Ensol US System Maintenance Project</t>
  </si>
  <si>
    <t>Workload</t>
  </si>
  <si>
    <t>Inprogress</t>
  </si>
  <si>
    <t>Completed</t>
  </si>
  <si>
    <t>8 - 12 September 2025</t>
  </si>
  <si>
    <t>4 - 10 September 2025</t>
  </si>
  <si>
    <t>9 - 12 September 2025</t>
  </si>
  <si>
    <t>10 - 12 September 2025</t>
  </si>
  <si>
    <t>11 - 12 September 2025</t>
  </si>
  <si>
    <t>12 - 12 September 2025</t>
  </si>
  <si>
    <t>13 - 12 September 2025</t>
  </si>
  <si>
    <t>14 - 12 September 2025</t>
  </si>
  <si>
    <t>15 - 12 September 2025</t>
  </si>
  <si>
    <t>16 - 12 September 2025</t>
  </si>
  <si>
    <t>22 - 26 Sep 2025</t>
  </si>
  <si>
    <t>All assigned workload has been completed.</t>
  </si>
  <si>
    <t>18 - 24 Sep 2025</t>
  </si>
  <si>
    <t>Finish 7 Story, 20 task , and 2 defect already fixed</t>
  </si>
  <si>
    <t>27 SSR testing ticket already finish, 2 defect found already created ticket.</t>
  </si>
  <si>
    <t>1 ticket In Development status and resolved 3 bugs.</t>
  </si>
  <si>
    <t>Resolved 5 bugs. Completed 3 user stories. Finished 1 task and 4 sub-tasks.</t>
  </si>
  <si>
    <t>Exceeded the target</t>
  </si>
  <si>
    <t>22 - 26 September 2025</t>
  </si>
  <si>
    <t>18 - 24 September 2025</t>
  </si>
  <si>
    <t>29 Sep ~ 3 Oct 2025</t>
  </si>
  <si>
    <t>finish 14 task and solved 1 bug, 2 task still in progress</t>
  </si>
  <si>
    <t>25 Sep ~ 1 Oct 2025</t>
  </si>
  <si>
    <t xml:space="preserve">finish 2 story and 17 task </t>
  </si>
  <si>
    <t>finish 34 task and 2 story, and 9 are still in progress because each task has a heavy workload - some include more than 30 sub-tasks.</t>
  </si>
  <si>
    <t>finish 21 task and 6 story</t>
  </si>
  <si>
    <t>34 SSR ticket already finish and 4 ticket still in testing.
1 defect found and already created ticket.</t>
  </si>
  <si>
    <t>1 task in In Development status has a large workload.</t>
  </si>
  <si>
    <t>Resolved 4 bugs. Completed 2 user stories. Finished 1 sub-tasks.</t>
  </si>
  <si>
    <t>26 Sep ~ 2 Oct 2025</t>
  </si>
  <si>
    <t>[Cumulative]- Authorization/Common part : Plan = 72 | Actual = 77- Front part : Plan = 70 | Actual = 92- Back-end part : Plan = 73 | Actual = 72 (There was a delay in reflecting the brand incoming file due to work reference checks)Overall Progress = 37.8%</t>
  </si>
  <si>
    <t>6 Oct ~ 10 Oct 2025</t>
  </si>
  <si>
    <t>Finish 7 Task and resolved 19 defect</t>
  </si>
  <si>
    <t>2 Oct ~ 8 Oct 2025</t>
  </si>
  <si>
    <t>Finish 3 story and 19 task, no defect found</t>
  </si>
  <si>
    <t>Finish 105 Story, 27 task and solved 1 defect</t>
  </si>
  <si>
    <t>Finish [RMS] Simulating Validation from RMS Simulator</t>
  </si>
  <si>
    <t>Finish 21 Story, 21 task 10 task still in progress</t>
  </si>
  <si>
    <t>8 SSR tickets have been completed, 1 defect has been reported.
Notes: The number of tickets is lower this week due to the long holiday in Korea.</t>
  </si>
  <si>
    <t>Finish 36 Task, 1 task in In Development status, resolved 4 defect.</t>
  </si>
  <si>
    <t>The team is on standby, waiting for HR’s final requirements to start the next phase.</t>
  </si>
  <si>
    <t>[Bank Sinarmas] Provision of Card Management System Services</t>
  </si>
  <si>
    <t>3 Oct ~ 9 Oct 2025</t>
  </si>
  <si>
    <t>[Cumulative]
- Authorization/Common part : Plan = 76 | Actual = 83
- Front part : Plan = 89 | Actual = 92
- Back-end part : Plan = 73 | Actual = 81
Overall Progress = 37.8%</t>
  </si>
  <si>
    <t>13 ~ 17 Oct 2025</t>
  </si>
  <si>
    <t>Finish 2 task and resolved 8 defect</t>
  </si>
  <si>
    <t>9 ~ 15 Oct 2025</t>
  </si>
  <si>
    <t>Finish 16 Task and 1 Story, 2 Task still in progress</t>
  </si>
  <si>
    <t>Finish 105 Story, 23 Task. 1 defect already resolved</t>
  </si>
  <si>
    <t>Finish Manual - EIF Validation Simulation using RMS Simulator</t>
  </si>
  <si>
    <t>Finish 8 task and 4 story still in progress but due date 31-10-2025</t>
  </si>
  <si>
    <t>Finish 35 SSR ticket, no defect found</t>
  </si>
  <si>
    <t>3 tasks In Development status are due at 31 October 2025</t>
  </si>
  <si>
    <t>We received the initial requirements from HR (Wilson) and held a kick-off meeting to align on scope. User stories have been drafted and will be reviewed before design approval. Development is expected to start in early November.</t>
  </si>
  <si>
    <t>10 ~ 16 Oct 2025</t>
  </si>
  <si>
    <t>[Cumulative]
- Authorization/Common part : Plan = 81 | Actual = 91
- Front part : Plan = 91 | Actual = 111
- Back-end part : Plan = 83 | Actual = 95
Overall Progress = 46.8%</t>
  </si>
  <si>
    <t>20 ~ 24 Oct 2025</t>
  </si>
  <si>
    <t>Completed 9 tasks and resolved 17 defects.</t>
  </si>
  <si>
    <t>16 ~ 22 Oct 2025</t>
  </si>
  <si>
    <t>Completed 17 tasks and 2 stories with no defects identified.</t>
  </si>
  <si>
    <t>Completed 17 tasks and 3 stories; 2 tasks remain in progress, and no defects were found.</t>
  </si>
  <si>
    <t>Completed 19 tasks with no defects identified.</t>
  </si>
  <si>
    <t>Completed 15 SSR tickets with no defects reported.</t>
  </si>
  <si>
    <t>Two tasks remain under development due to high workload.</t>
  </si>
  <si>
    <t>This week, we successfully finalized all user stories for the new feature, concluding the requirements phase with the addition of stories for the Candidate List page, Activity History, Headcount configuration, and Interview Planning. Concurrently, the UI/UX team has started the design phase, which is on track to be completed by the end of the month, allowing development to commence next month.</t>
  </si>
  <si>
    <t>17 ~ 23 Oct 2025</t>
  </si>
  <si>
    <t>[Cumulative]
- Authorization/Common part : Plan = 108 | Actual = 101 
- Front part : Plan = 109 | Actual = 116
- Back-end part : Plan = 103| Actual = 112
delay reason : Development delayed due to interface testing. An additional developer joined last week, and task assignments were adjusted internally.
Overall Progress = 51.7%</t>
  </si>
  <si>
    <t>27 ~ 31 Oct 2025</t>
  </si>
  <si>
    <t>Completed 11 tasks and resolved 20 defects.</t>
  </si>
  <si>
    <t>30 Oct ~ 05 Nov 2025</t>
  </si>
  <si>
    <t>Completed 16 out of 23 tasks; 7 tasks are still in progress</t>
  </si>
  <si>
    <t>Completed 9 out of 12 tasks; 3 stories are still in progress and due on 14 November 2025.</t>
  </si>
  <si>
    <t>Finish 55 of 59 Task, 3 Task still in progress and 1 defect found and its already resolved</t>
  </si>
  <si>
    <t>Finish 45 SSR ticket, 5 defect found and has been fixed by developer.</t>
  </si>
  <si>
    <t>Defect fixing could not be performed as several development tasks were delayed when the DEV environment was shut down during the BI audit.</t>
  </si>
  <si>
    <t>Resolved 2 bugs. Completed 1 user story.</t>
  </si>
  <si>
    <t>24 ~ 30 Oct 2025</t>
  </si>
  <si>
    <t>[Cumulative]
- Authorization/Common part : Plan = 123 | Actual = 107
- Front part : Plan = 119 | Actual = 133
- Back-end part : Plan = 121 | Actual = 125
- Bank Sinarmas : Plan = 3 | Actual = 0
delay reason : 
Authorization Part Catch-Up Details : Total 99 remains(Including 3 BSIM development)
   -. ~11/7 : 18 Complete (Visa Acquirer/Issuer, QRIS, UPI Acquirer/Issuer)
   -. ~11/15 : 15 Complete (Prima ATM, Alto ATM)
   -. ~11/21 : 17 Comelete (ATMB ATM, ATM Inquiry/Bill Payment)
   -. ~11/28 : 33 Complete  (Prima EDC, Alto EDC, Core Banking, ATM Other Feature)
   -. ~12/5 : 16 Complete (Screen, Post Authorization, API)
Overall Progress = 59.9%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</si>
</sst>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_-"/>
  </numFmts>
  <fonts count="28">
    <font>
      <sz val="11"/>
      <color theme="1"/>
      <name val="Aptos Narrow"/>
      <family val="2"/>
      <scheme val="minor"/>
    </font>
    <font>
      <sz val="11"/>
      <color theme="1"/>
      <name val="Aptos Narrow"/>
      <family val="2"/>
      <scheme val="minor"/>
    </font>
    <font>
      <sz val="11"/>
      <color theme="1"/>
      <name val="Aptos Narrow"/>
      <scheme val="minor"/>
    </font>
    <font>
      <b/>
      <sz val="10"/>
      <color rgb="FF000000"/>
      <name val="Aptos Narrow"/>
      <scheme val="minor"/>
    </font>
    <font>
      <sz val="10"/>
      <color rgb="FF000000"/>
      <name val="Aptos Narrow"/>
      <scheme val="minor"/>
    </font>
    <font>
      <sz val="10"/>
      <color theme="1"/>
      <name val="Aptos Narrow"/>
      <scheme val="minor"/>
    </font>
    <font>
      <b/>
      <sz val="11"/>
      <color theme="1"/>
      <name val="Aptos Narrow"/>
      <scheme val="minor"/>
    </font>
    <font>
      <b/>
      <sz val="10"/>
      <color theme="1"/>
      <name val="Aptos Narrow"/>
      <scheme val="minor"/>
    </font>
    <font>
      <b/>
      <sz val="10"/>
      <color theme="1"/>
      <name val="Aptos Narrow"/>
      <family val="2"/>
      <scheme val="minor"/>
    </font>
    <font>
      <b/>
      <sz val="10"/>
      <color rgb="FF000000"/>
      <name val="Aptos Narrow"/>
      <family val="2"/>
      <scheme val="minor"/>
    </font>
    <font>
      <sz val="10"/>
      <color rgb="FF000000"/>
      <name val="Aptos Narrow"/>
      <family val="2"/>
      <scheme val="minor"/>
    </font>
    <font>
      <sz val="10"/>
      <color theme="1"/>
      <name val="Aptos Narrow"/>
      <family val="2"/>
      <scheme val="minor"/>
    </font>
    <font>
      <sz val="8"/>
      <name val="Aptos Narrow"/>
      <family val="2"/>
      <scheme val="minor"/>
    </font>
    <font>
      <b/>
      <sz val="11"/>
      <color theme="1"/>
      <name val="Aptos Narrow"/>
      <family val="2"/>
      <scheme val="minor"/>
    </font>
    <font>
      <sz val="11"/>
      <color theme="1"/>
      <name val="LG Smart_H Regular"/>
      <family val="2"/>
    </font>
    <font>
      <b/>
      <sz val="10"/>
      <color rgb="FF000000"/>
      <name val="LG Smart_H Regular"/>
      <family val="2"/>
    </font>
    <font>
      <sz val="10"/>
      <color rgb="FF000000"/>
      <name val="LG Smart_H Regular"/>
      <family val="2"/>
    </font>
    <font>
      <sz val="10"/>
      <color theme="1"/>
      <name val="LG Smart_H Regular"/>
      <family val="2"/>
    </font>
    <font>
      <b/>
      <sz val="11"/>
      <color theme="1"/>
      <name val="LG Smart_H Regular"/>
      <family val="2"/>
    </font>
    <font>
      <b/>
      <sz val="12"/>
      <color rgb="FF000000"/>
      <name val="LG Smart_H Regular"/>
      <family val="2"/>
    </font>
    <font>
      <sz val="12"/>
      <color rgb="FF000000"/>
      <name val="LG Smart_H Regular"/>
      <family val="2"/>
    </font>
    <font>
      <sz val="12"/>
      <color theme="1"/>
      <name val="LG Smart_H Regular"/>
      <family val="2"/>
    </font>
    <font>
      <sz val="12"/>
      <color rgb="FF000000"/>
      <name val="LG Smart_H Regular"/>
    </font>
    <font>
      <b/>
      <sz val="12"/>
      <color theme="1"/>
      <name val="LG Smart_H Regular"/>
      <family val="2"/>
    </font>
    <font>
      <sz val="11"/>
      <color theme="1"/>
      <name val="LG Smart_H Regular"/>
    </font>
    <font>
      <b/>
      <sz val="12"/>
      <color rgb="FF000000"/>
      <name val="LG Smart_H Regular"/>
    </font>
    <font>
      <sz val="12"/>
      <color theme="1"/>
      <name val="LG Smart_H Regular"/>
    </font>
    <font>
      <b/>
      <sz val="12"/>
      <color theme="1"/>
      <name val="LG Smart_H Regular"/>
    </font>
  </fonts>
  <fills count="3">
    <fill>
      <patternFill patternType="none"/>
    </fill>
    <fill>
      <patternFill patternType="gray125"/>
    </fill>
    <fill>
      <patternFill patternType="solid">
        <fgColor rgb="FFD9D9D9"/>
        <bgColor rgb="FF000000"/>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164" fontId="1" fillId="0" borderId="0" applyFont="0" applyFill="0" applyBorder="0" applyAlignment="0" applyProtection="0"/>
    <xf numFmtId="9" fontId="1" fillId="0" borderId="0" applyFont="0" applyFill="0" applyBorder="0" applyAlignment="0" applyProtection="0"/>
  </cellStyleXfs>
  <cellXfs count="122">
    <xf numFmtId="0" fontId="0" fillId="0" borderId="0" xfId="0"/>
    <xf numFmtId="0" fontId="2" fillId="0" borderId="0" xfId="0" applyFont="1"/>
    <xf numFmtId="0" fontId="3" fillId="2" borderId="1" xfId="0" applyFont="1" applyFill="1" applyBorder="1" applyAlignment="1">
      <alignment horizontal="center" vertical="center" wrapText="1"/>
    </xf>
    <xf numFmtId="0" fontId="4" fillId="0" borderId="1" xfId="0" applyFont="1" applyBorder="1" applyAlignment="1">
      <alignment horizontal="left" vertical="center" wrapText="1" readingOrder="1"/>
    </xf>
    <xf numFmtId="0" fontId="4" fillId="0" borderId="1" xfId="0" applyFont="1" applyBorder="1" applyAlignment="1">
      <alignment horizontal="right" vertical="center" wrapText="1" readingOrder="1"/>
    </xf>
    <xf numFmtId="0" fontId="4" fillId="0" borderId="1" xfId="0" applyFont="1" applyBorder="1" applyAlignment="1">
      <alignment horizontal="center" vertical="center" wrapText="1"/>
    </xf>
    <xf numFmtId="9" fontId="4" fillId="0" borderId="1" xfId="0" applyNumberFormat="1" applyFont="1" applyBorder="1" applyAlignment="1">
      <alignment horizontal="center" vertical="center" wrapText="1"/>
    </xf>
    <xf numFmtId="0" fontId="5" fillId="0" borderId="1" xfId="0" applyFont="1" applyBorder="1" applyAlignment="1">
      <alignment vertical="center" wrapText="1"/>
    </xf>
    <xf numFmtId="0" fontId="4" fillId="0" borderId="1" xfId="0" applyFont="1" applyBorder="1" applyAlignment="1">
      <alignment horizontal="left" vertical="center" wrapText="1"/>
    </xf>
    <xf numFmtId="0" fontId="7" fillId="0" borderId="1" xfId="0" applyFont="1" applyBorder="1" applyAlignment="1">
      <alignment horizontal="right"/>
    </xf>
    <xf numFmtId="9" fontId="7" fillId="0" borderId="1" xfId="0" applyNumberFormat="1" applyFont="1" applyBorder="1" applyAlignment="1">
      <alignment horizontal="right"/>
    </xf>
    <xf numFmtId="0" fontId="4" fillId="0" borderId="1" xfId="0" applyFont="1" applyBorder="1" applyAlignment="1">
      <alignment vertical="center" wrapText="1" readingOrder="1"/>
    </xf>
    <xf numFmtId="0" fontId="4" fillId="0" borderId="4" xfId="0" applyFont="1" applyBorder="1" applyAlignment="1">
      <alignment vertical="center" wrapText="1" readingOrder="1"/>
    </xf>
    <xf numFmtId="0" fontId="4" fillId="0" borderId="2" xfId="0" applyFont="1" applyBorder="1" applyAlignment="1">
      <alignment horizontal="right" vertical="center" wrapText="1" readingOrder="1"/>
    </xf>
    <xf numFmtId="0" fontId="4" fillId="0" borderId="2" xfId="0" applyFont="1" applyBorder="1" applyAlignment="1">
      <alignment horizontal="center" vertical="center" wrapText="1"/>
    </xf>
    <xf numFmtId="9" fontId="4" fillId="0" borderId="2" xfId="0" applyNumberFormat="1" applyFont="1" applyBorder="1" applyAlignment="1">
      <alignment horizontal="center" vertical="center" wrapText="1"/>
    </xf>
    <xf numFmtId="0" fontId="4" fillId="0" borderId="2" xfId="0" applyFont="1" applyBorder="1" applyAlignment="1">
      <alignment horizontal="left" vertical="center" wrapText="1"/>
    </xf>
    <xf numFmtId="0" fontId="5" fillId="0" borderId="2" xfId="0" applyFont="1" applyBorder="1" applyAlignment="1">
      <alignment vertical="center" wrapText="1"/>
    </xf>
    <xf numFmtId="0" fontId="7" fillId="0" borderId="2" xfId="0" applyFont="1" applyBorder="1" applyAlignment="1">
      <alignment horizontal="center" vertical="center" wrapText="1"/>
    </xf>
    <xf numFmtId="9" fontId="7" fillId="0" borderId="2" xfId="0" applyNumberFormat="1" applyFont="1" applyBorder="1" applyAlignment="1">
      <alignment horizontal="center" vertical="center" wrapText="1"/>
    </xf>
    <xf numFmtId="0" fontId="4" fillId="0" borderId="5" xfId="0" applyFont="1" applyBorder="1" applyAlignment="1">
      <alignment vertical="center" wrapText="1" readingOrder="1"/>
    </xf>
    <xf numFmtId="0" fontId="4" fillId="0" borderId="3" xfId="0" applyFont="1" applyBorder="1" applyAlignment="1">
      <alignment horizontal="right" vertical="center" wrapText="1" readingOrder="1"/>
    </xf>
    <xf numFmtId="0" fontId="4" fillId="0" borderId="3" xfId="0" applyFont="1" applyBorder="1" applyAlignment="1">
      <alignment horizontal="center" vertical="center" wrapText="1"/>
    </xf>
    <xf numFmtId="9" fontId="4" fillId="0" borderId="3" xfId="0" applyNumberFormat="1" applyFont="1" applyBorder="1" applyAlignment="1">
      <alignment horizontal="center" vertical="center" wrapText="1"/>
    </xf>
    <xf numFmtId="0" fontId="4" fillId="0" borderId="3" xfId="0" applyFont="1" applyBorder="1" applyAlignment="1">
      <alignment horizontal="left" vertical="center" wrapText="1"/>
    </xf>
    <xf numFmtId="0" fontId="2" fillId="0" borderId="0" xfId="0" applyFont="1" applyAlignment="1">
      <alignment horizontal="center" vertical="center"/>
    </xf>
    <xf numFmtId="0" fontId="8" fillId="0" borderId="1" xfId="0" applyFont="1" applyBorder="1" applyAlignment="1">
      <alignment horizontal="right"/>
    </xf>
    <xf numFmtId="9" fontId="8" fillId="0" borderId="1" xfId="0" applyNumberFormat="1" applyFont="1" applyBorder="1" applyAlignment="1">
      <alignment horizontal="right"/>
    </xf>
    <xf numFmtId="0" fontId="9" fillId="2" borderId="1" xfId="0" applyFont="1" applyFill="1" applyBorder="1" applyAlignment="1">
      <alignment horizontal="center" vertical="center" wrapText="1"/>
    </xf>
    <xf numFmtId="0" fontId="10" fillId="0" borderId="1" xfId="0" applyFont="1" applyBorder="1" applyAlignment="1">
      <alignment horizontal="left" vertical="center" wrapText="1" readingOrder="1"/>
    </xf>
    <xf numFmtId="0" fontId="10" fillId="0" borderId="1" xfId="0" applyFont="1" applyBorder="1" applyAlignment="1">
      <alignment horizontal="right" vertical="center" wrapText="1" readingOrder="1"/>
    </xf>
    <xf numFmtId="0" fontId="10" fillId="0" borderId="1" xfId="0" applyFont="1" applyBorder="1" applyAlignment="1">
      <alignment horizontal="center" vertical="center" wrapText="1"/>
    </xf>
    <xf numFmtId="9" fontId="10" fillId="0" borderId="1" xfId="0" applyNumberFormat="1" applyFont="1" applyBorder="1" applyAlignment="1">
      <alignment horizontal="center" vertical="center" wrapText="1"/>
    </xf>
    <xf numFmtId="0" fontId="11" fillId="0" borderId="1" xfId="0" applyFont="1" applyBorder="1" applyAlignment="1">
      <alignment vertical="center" wrapText="1"/>
    </xf>
    <xf numFmtId="0" fontId="10" fillId="0" borderId="1" xfId="0" applyFont="1" applyBorder="1" applyAlignment="1">
      <alignment horizontal="left" vertical="center" wrapText="1"/>
    </xf>
    <xf numFmtId="9" fontId="4" fillId="0" borderId="1" xfId="2" applyFont="1" applyBorder="1" applyAlignment="1">
      <alignment horizontal="center" vertical="center" wrapText="1"/>
    </xf>
    <xf numFmtId="0" fontId="6" fillId="0" borderId="2" xfId="0" applyFont="1" applyBorder="1" applyAlignment="1">
      <alignment horizontal="center" vertical="center" wrapText="1"/>
    </xf>
    <xf numFmtId="9" fontId="6" fillId="0" borderId="6" xfId="0" applyNumberFormat="1" applyFont="1" applyBorder="1" applyAlignment="1">
      <alignment horizontal="center" vertical="center" wrapText="1"/>
    </xf>
    <xf numFmtId="0" fontId="2" fillId="0" borderId="1" xfId="0" applyFont="1" applyBorder="1" applyAlignment="1">
      <alignment wrapText="1"/>
    </xf>
    <xf numFmtId="0" fontId="4" fillId="0" borderId="1" xfId="0" applyFont="1" applyBorder="1" applyAlignment="1">
      <alignment horizontal="center" vertical="center" wrapText="1" readingOrder="1"/>
    </xf>
    <xf numFmtId="9" fontId="13" fillId="0" borderId="6" xfId="0" applyNumberFormat="1" applyFont="1" applyBorder="1" applyAlignment="1">
      <alignment horizontal="center" vertical="center" wrapText="1"/>
    </xf>
    <xf numFmtId="0" fontId="4" fillId="0" borderId="9" xfId="0" applyFont="1" applyBorder="1" applyAlignment="1">
      <alignment horizontal="center" vertical="center" wrapText="1" readingOrder="1"/>
    </xf>
    <xf numFmtId="0" fontId="4" fillId="0" borderId="2" xfId="0" applyFont="1" applyBorder="1" applyAlignment="1">
      <alignment horizontal="left" vertical="center" wrapText="1" readingOrder="1"/>
    </xf>
    <xf numFmtId="0" fontId="8" fillId="0" borderId="2" xfId="0" applyFont="1" applyBorder="1" applyAlignment="1">
      <alignment horizontal="right"/>
    </xf>
    <xf numFmtId="2" fontId="4" fillId="0" borderId="1" xfId="2" applyNumberFormat="1" applyFont="1" applyBorder="1" applyAlignment="1">
      <alignment horizontal="center" vertical="center" wrapText="1"/>
    </xf>
    <xf numFmtId="0" fontId="14" fillId="0" borderId="0" xfId="0" applyFont="1"/>
    <xf numFmtId="0" fontId="15" fillId="2" borderId="1" xfId="0" applyFont="1" applyFill="1" applyBorder="1" applyAlignment="1">
      <alignment horizontal="center" vertical="center" wrapText="1"/>
    </xf>
    <xf numFmtId="0" fontId="16" fillId="0" borderId="1" xfId="0" applyFont="1" applyBorder="1" applyAlignment="1">
      <alignment horizontal="left" vertical="center" wrapText="1" readingOrder="1"/>
    </xf>
    <xf numFmtId="0" fontId="16" fillId="0" borderId="1" xfId="0" applyFont="1" applyBorder="1" applyAlignment="1">
      <alignment horizontal="center" vertical="center" wrapText="1" readingOrder="1"/>
    </xf>
    <xf numFmtId="0" fontId="16" fillId="0" borderId="1" xfId="0" applyFont="1" applyBorder="1" applyAlignment="1">
      <alignment horizontal="center" vertical="center" wrapText="1"/>
    </xf>
    <xf numFmtId="9" fontId="16" fillId="0" borderId="1" xfId="2" applyFont="1" applyBorder="1" applyAlignment="1">
      <alignment horizontal="center" vertical="center" wrapText="1"/>
    </xf>
    <xf numFmtId="0" fontId="16" fillId="0" borderId="1" xfId="2" applyNumberFormat="1" applyFont="1" applyBorder="1" applyAlignment="1">
      <alignment horizontal="center" vertical="center" wrapText="1"/>
    </xf>
    <xf numFmtId="0" fontId="17" fillId="0" borderId="1" xfId="0" applyFont="1" applyBorder="1" applyAlignment="1">
      <alignment vertical="center" wrapText="1"/>
    </xf>
    <xf numFmtId="2" fontId="16" fillId="0" borderId="1" xfId="2" applyNumberFormat="1" applyFont="1" applyBorder="1" applyAlignment="1">
      <alignment horizontal="center" vertical="center" wrapText="1"/>
    </xf>
    <xf numFmtId="9" fontId="16" fillId="0" borderId="10" xfId="2" applyFont="1" applyBorder="1" applyAlignment="1">
      <alignment horizontal="center" vertical="center" wrapText="1"/>
    </xf>
    <xf numFmtId="0" fontId="16" fillId="0" borderId="2" xfId="0" applyFont="1" applyBorder="1" applyAlignment="1">
      <alignment horizontal="left" vertical="center" wrapText="1" readingOrder="1"/>
    </xf>
    <xf numFmtId="0" fontId="16" fillId="0" borderId="3" xfId="0" applyFont="1" applyBorder="1" applyAlignment="1">
      <alignment horizontal="left" vertical="center" wrapText="1"/>
    </xf>
    <xf numFmtId="0" fontId="16" fillId="0" borderId="9" xfId="0" applyFont="1" applyBorder="1" applyAlignment="1">
      <alignment horizontal="center" vertical="center" wrapText="1" readingOrder="1"/>
    </xf>
    <xf numFmtId="0" fontId="16" fillId="0" borderId="2" xfId="0" applyFont="1" applyBorder="1" applyAlignment="1">
      <alignment horizontal="left" vertical="center" wrapText="1"/>
    </xf>
    <xf numFmtId="0" fontId="18" fillId="0" borderId="2" xfId="0" applyFont="1" applyBorder="1" applyAlignment="1">
      <alignment horizontal="center" vertical="center" wrapText="1"/>
    </xf>
    <xf numFmtId="9" fontId="18" fillId="0" borderId="6" xfId="0" applyNumberFormat="1" applyFont="1" applyBorder="1" applyAlignment="1">
      <alignment horizontal="center" vertical="center" wrapText="1"/>
    </xf>
    <xf numFmtId="2" fontId="18" fillId="0" borderId="6" xfId="0" applyNumberFormat="1" applyFont="1" applyBorder="1" applyAlignment="1">
      <alignment horizontal="center" vertical="center"/>
    </xf>
    <xf numFmtId="0" fontId="14" fillId="0" borderId="2" xfId="0" applyFont="1" applyBorder="1" applyAlignment="1">
      <alignment wrapText="1"/>
    </xf>
    <xf numFmtId="0" fontId="19" fillId="2" borderId="1" xfId="0" applyFont="1" applyFill="1" applyBorder="1" applyAlignment="1">
      <alignment horizontal="center" vertical="center" wrapText="1"/>
    </xf>
    <xf numFmtId="0" fontId="20" fillId="0" borderId="1" xfId="0" applyFont="1" applyBorder="1" applyAlignment="1">
      <alignment horizontal="left" vertical="center" wrapText="1" readingOrder="1"/>
    </xf>
    <xf numFmtId="0" fontId="20" fillId="0" borderId="1" xfId="0" applyFont="1" applyBorder="1" applyAlignment="1">
      <alignment horizontal="center" vertical="center" wrapText="1" readingOrder="1"/>
    </xf>
    <xf numFmtId="0" fontId="20" fillId="0" borderId="1" xfId="0" applyFont="1" applyBorder="1" applyAlignment="1">
      <alignment horizontal="center" vertical="center" wrapText="1"/>
    </xf>
    <xf numFmtId="9" fontId="20" fillId="0" borderId="1" xfId="2" applyFont="1" applyBorder="1" applyAlignment="1">
      <alignment horizontal="center" vertical="center" wrapText="1"/>
    </xf>
    <xf numFmtId="2" fontId="20" fillId="0" borderId="1" xfId="2" applyNumberFormat="1" applyFont="1" applyBorder="1" applyAlignment="1">
      <alignment horizontal="center" vertical="center" wrapText="1"/>
    </xf>
    <xf numFmtId="0" fontId="21" fillId="0" borderId="1" xfId="0" applyFont="1" applyBorder="1" applyAlignment="1">
      <alignment vertical="center" wrapText="1"/>
    </xf>
    <xf numFmtId="9" fontId="20" fillId="0" borderId="10" xfId="2" applyFont="1" applyBorder="1" applyAlignment="1">
      <alignment horizontal="center" vertical="center" wrapText="1"/>
    </xf>
    <xf numFmtId="0" fontId="20" fillId="0" borderId="2" xfId="0" applyFont="1" applyBorder="1" applyAlignment="1">
      <alignment horizontal="left" vertical="center" wrapText="1" readingOrder="1"/>
    </xf>
    <xf numFmtId="0" fontId="20" fillId="0" borderId="3" xfId="0" applyFont="1" applyBorder="1" applyAlignment="1">
      <alignment horizontal="left" vertical="center" wrapText="1"/>
    </xf>
    <xf numFmtId="0" fontId="20" fillId="0" borderId="2" xfId="0" applyFont="1" applyBorder="1" applyAlignment="1">
      <alignment horizontal="left" vertical="center" wrapText="1"/>
    </xf>
    <xf numFmtId="0" fontId="22" fillId="0" borderId="2" xfId="0" applyFont="1" applyBorder="1" applyAlignment="1">
      <alignment horizontal="left" vertical="center" wrapText="1"/>
    </xf>
    <xf numFmtId="0" fontId="23" fillId="0" borderId="2" xfId="0" applyFont="1" applyBorder="1" applyAlignment="1">
      <alignment horizontal="center" vertical="center" wrapText="1"/>
    </xf>
    <xf numFmtId="9" fontId="23" fillId="0" borderId="6" xfId="0" applyNumberFormat="1" applyFont="1" applyBorder="1" applyAlignment="1">
      <alignment horizontal="center" vertical="center" wrapText="1"/>
    </xf>
    <xf numFmtId="2" fontId="23" fillId="0" borderId="6" xfId="0" applyNumberFormat="1" applyFont="1" applyBorder="1" applyAlignment="1">
      <alignment horizontal="center" vertical="center"/>
    </xf>
    <xf numFmtId="0" fontId="21" fillId="0" borderId="2" xfId="0" applyFont="1" applyBorder="1" applyAlignment="1">
      <alignment wrapText="1"/>
    </xf>
    <xf numFmtId="0" fontId="20" fillId="0" borderId="1" xfId="0" applyFont="1" applyBorder="1" applyAlignment="1">
      <alignment horizontal="center" vertical="center"/>
    </xf>
    <xf numFmtId="9" fontId="20" fillId="0" borderId="1" xfId="2" applyFont="1" applyBorder="1" applyAlignment="1">
      <alignment horizontal="center" vertical="center"/>
    </xf>
    <xf numFmtId="2" fontId="20" fillId="0" borderId="1" xfId="2" applyNumberFormat="1" applyFont="1" applyBorder="1" applyAlignment="1">
      <alignment horizontal="center" vertical="center"/>
    </xf>
    <xf numFmtId="0" fontId="21" fillId="0" borderId="0" xfId="0" applyFont="1"/>
    <xf numFmtId="0" fontId="20" fillId="0" borderId="1" xfId="0" applyFont="1" applyBorder="1" applyAlignment="1">
      <alignment horizontal="left" vertical="center" readingOrder="1"/>
    </xf>
    <xf numFmtId="0" fontId="20" fillId="0" borderId="1" xfId="0" applyFont="1" applyBorder="1" applyAlignment="1">
      <alignment horizontal="right" vertical="center" readingOrder="1"/>
    </xf>
    <xf numFmtId="0" fontId="20" fillId="0" borderId="1" xfId="0" applyFont="1" applyBorder="1" applyAlignment="1">
      <alignment horizontal="left" vertical="center"/>
    </xf>
    <xf numFmtId="0" fontId="21" fillId="0" borderId="0" xfId="0" applyFont="1" applyAlignment="1">
      <alignment wrapText="1"/>
    </xf>
    <xf numFmtId="0" fontId="21" fillId="0" borderId="1" xfId="0" applyFont="1" applyBorder="1" applyAlignment="1">
      <alignment horizontal="center" vertical="center"/>
    </xf>
    <xf numFmtId="0" fontId="23" fillId="0" borderId="1" xfId="0" applyFont="1" applyBorder="1" applyAlignment="1">
      <alignment horizontal="center" vertical="center"/>
    </xf>
    <xf numFmtId="9" fontId="23" fillId="0" borderId="1" xfId="0" applyNumberFormat="1" applyFont="1" applyBorder="1" applyAlignment="1">
      <alignment horizontal="center" vertical="center"/>
    </xf>
    <xf numFmtId="2" fontId="23" fillId="0" borderId="1" xfId="0" applyNumberFormat="1" applyFont="1" applyBorder="1" applyAlignment="1">
      <alignment horizontal="center" vertical="center"/>
    </xf>
    <xf numFmtId="0" fontId="20" fillId="0" borderId="1" xfId="0" applyFont="1" applyBorder="1" applyAlignment="1">
      <alignment horizontal="left" vertical="center" wrapText="1"/>
    </xf>
    <xf numFmtId="0" fontId="21" fillId="0" borderId="1" xfId="0" applyFont="1" applyBorder="1" applyAlignment="1">
      <alignment wrapText="1"/>
    </xf>
    <xf numFmtId="0" fontId="20" fillId="0" borderId="1" xfId="0" applyFont="1" applyBorder="1" applyAlignment="1">
      <alignment horizontal="right" vertical="center" wrapText="1" readingOrder="1"/>
    </xf>
    <xf numFmtId="0" fontId="23" fillId="0" borderId="1" xfId="0" applyFont="1" applyBorder="1" applyAlignment="1">
      <alignment horizontal="center" vertical="center" wrapText="1"/>
    </xf>
    <xf numFmtId="9" fontId="23" fillId="0" borderId="1" xfId="0" applyNumberFormat="1" applyFont="1" applyBorder="1" applyAlignment="1">
      <alignment horizontal="center" vertical="center" wrapText="1"/>
    </xf>
    <xf numFmtId="2" fontId="23" fillId="0" borderId="1" xfId="0" applyNumberFormat="1" applyFont="1" applyBorder="1" applyAlignment="1">
      <alignment horizontal="center" vertical="center" wrapText="1"/>
    </xf>
    <xf numFmtId="0" fontId="24" fillId="0" borderId="0" xfId="0" applyFont="1"/>
    <xf numFmtId="0" fontId="25" fillId="2" borderId="1" xfId="0" applyFont="1" applyFill="1" applyBorder="1" applyAlignment="1">
      <alignment horizontal="center" vertical="center" wrapText="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wrapText="1" readingOrder="1"/>
    </xf>
    <xf numFmtId="0" fontId="22" fillId="0" borderId="1" xfId="0" applyFont="1" applyBorder="1" applyAlignment="1">
      <alignment horizontal="center" vertical="center" wrapText="1"/>
    </xf>
    <xf numFmtId="9" fontId="22" fillId="0" borderId="1" xfId="2" applyFont="1" applyBorder="1" applyAlignment="1">
      <alignment horizontal="center" vertical="center" wrapText="1"/>
    </xf>
    <xf numFmtId="2" fontId="22" fillId="0" borderId="1" xfId="2" applyNumberFormat="1" applyFont="1" applyBorder="1" applyAlignment="1">
      <alignment horizontal="center" vertical="center" wrapText="1"/>
    </xf>
    <xf numFmtId="0" fontId="26" fillId="0" borderId="1" xfId="0" applyFont="1" applyBorder="1" applyAlignment="1">
      <alignment vertical="center" wrapText="1"/>
    </xf>
    <xf numFmtId="9" fontId="22" fillId="0" borderId="10" xfId="2" applyFont="1" applyBorder="1" applyAlignment="1">
      <alignment horizontal="center" vertical="center" wrapText="1"/>
    </xf>
    <xf numFmtId="0" fontId="22" fillId="0" borderId="3" xfId="0" applyFont="1" applyBorder="1" applyAlignment="1">
      <alignment horizontal="left" vertical="center" wrapText="1"/>
    </xf>
    <xf numFmtId="0" fontId="22" fillId="0" borderId="2" xfId="0" applyFont="1" applyBorder="1" applyAlignment="1">
      <alignment horizontal="left" vertical="center" wrapText="1" readingOrder="1"/>
    </xf>
    <xf numFmtId="0" fontId="27" fillId="0" borderId="2" xfId="0" applyFont="1" applyBorder="1" applyAlignment="1">
      <alignment horizontal="center" vertical="center" wrapText="1"/>
    </xf>
    <xf numFmtId="9" fontId="27" fillId="0" borderId="6" xfId="0" applyNumberFormat="1" applyFont="1" applyBorder="1" applyAlignment="1">
      <alignment horizontal="center" vertical="center" wrapText="1"/>
    </xf>
    <xf numFmtId="2" fontId="27" fillId="0" borderId="6" xfId="0" applyNumberFormat="1" applyFont="1" applyBorder="1" applyAlignment="1">
      <alignment horizontal="center" vertical="center"/>
    </xf>
    <xf numFmtId="0" fontId="26" fillId="0" borderId="2" xfId="0" applyFont="1" applyBorder="1" applyAlignment="1">
      <alignment wrapText="1"/>
    </xf>
    <xf numFmtId="0" fontId="19" fillId="0" borderId="1" xfId="0" applyFont="1" applyBorder="1" applyAlignment="1">
      <alignment horizontal="center" vertical="center" wrapText="1" readingOrder="1"/>
    </xf>
    <xf numFmtId="0" fontId="19" fillId="0" borderId="1" xfId="0" applyFont="1" applyBorder="1" applyAlignment="1">
      <alignment horizontal="center" vertical="center" readingOrder="1"/>
    </xf>
    <xf numFmtId="0" fontId="15" fillId="0" borderId="7" xfId="0" applyFont="1" applyBorder="1" applyAlignment="1">
      <alignment horizontal="center" vertical="center" wrapText="1" readingOrder="1"/>
    </xf>
    <xf numFmtId="0" fontId="15" fillId="0" borderId="8" xfId="0" applyFont="1" applyBorder="1" applyAlignment="1">
      <alignment horizontal="center" vertical="center" wrapText="1" readingOrder="1"/>
    </xf>
    <xf numFmtId="0" fontId="9" fillId="0" borderId="7" xfId="0" applyFont="1" applyBorder="1" applyAlignment="1">
      <alignment horizontal="center" vertical="center" wrapText="1" readingOrder="1"/>
    </xf>
    <xf numFmtId="0" fontId="9" fillId="0" borderId="8" xfId="0" applyFont="1" applyBorder="1" applyAlignment="1">
      <alignment horizontal="center" vertical="center" wrapText="1" readingOrder="1"/>
    </xf>
    <xf numFmtId="0" fontId="19" fillId="0" borderId="7" xfId="0" applyFont="1" applyBorder="1" applyAlignment="1">
      <alignment horizontal="center" vertical="center" wrapText="1" readingOrder="1"/>
    </xf>
    <xf numFmtId="0" fontId="19" fillId="0" borderId="8" xfId="0" applyFont="1" applyBorder="1" applyAlignment="1">
      <alignment horizontal="center" vertical="center" wrapText="1" readingOrder="1"/>
    </xf>
    <xf numFmtId="0" fontId="25" fillId="0" borderId="7" xfId="0" applyFont="1" applyBorder="1" applyAlignment="1">
      <alignment horizontal="center" vertical="center" wrapText="1" readingOrder="1"/>
    </xf>
    <xf numFmtId="0" fontId="25" fillId="0" borderId="8" xfId="0" applyFont="1" applyBorder="1" applyAlignment="1">
      <alignment horizontal="center" vertical="center" wrapText="1" readingOrder="1"/>
    </xf>
  </cellXfs>
  <cellStyles count="3">
    <cellStyle name="Comma [0] 2" xfId="1" xr:uid="{8B6F88F1-DA62-4DEB-97A4-FDB640D370B4}"/>
    <cellStyle name="Normal" xfId="0" builtinId="0"/>
    <cellStyle name="Percent" xfId="2" builtinId="5"/>
  </cellStyles>
  <dxfs count="0"/>
  <tableStyles count="0" defaultTableStyle="TableStyleMedium2" defaultPivotStyle="PivotStyleLight16"/>
  <colors>
    <mruColors>
      <color rgb="FFF2E77E"/>
      <color rgb="FFF779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Weekly Quality Report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Draft!$D$22</c:f>
              <c:strCache>
                <c:ptCount val="1"/>
                <c:pt idx="0">
                  <c:v>Total Workload</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Draft!$B$23:$B$37</c:f>
              <c:strCache>
                <c:ptCount val="15"/>
                <c:pt idx="0">
                  <c:v>[LGUS] Purchasing Enhancement Project</c:v>
                </c:pt>
                <c:pt idx="1">
                  <c:v>GDC Smart Factory - SF Automation 2025</c:v>
                </c:pt>
                <c:pt idx="2">
                  <c:v>GDC Smart Factory - SF Core Unit 2025</c:v>
                </c:pt>
                <c:pt idx="3">
                  <c:v>GDC SF Intelligent Unit Testing Project</c:v>
                </c:pt>
                <c:pt idx="4">
                  <c:v>GDC Smart Factory - SF Manufacturing DX Team 2025</c:v>
                </c:pt>
                <c:pt idx="5">
                  <c:v>GDC Smart Factory - SF Process DX Team 2025</c:v>
                </c:pt>
                <c:pt idx="6">
                  <c:v>GDC SINGLEX Business Unit Testing Project</c:v>
                </c:pt>
                <c:pt idx="7">
                  <c:v>Network Installation for New Tobacco Factory of KT&amp;G </c:v>
                </c:pt>
                <c:pt idx="8">
                  <c:v>SHINE NGBS KB Bank System Maintenance</c:v>
                </c:pt>
                <c:pt idx="9">
                  <c:v>HLI</c:v>
                </c:pt>
                <c:pt idx="10">
                  <c:v>[Bank Sinarmas] Provision of Service of Card Management System</c:v>
                </c:pt>
                <c:pt idx="11">
                  <c:v>GDC SF Solution Unit Quality DX Team Project 2025</c:v>
                </c:pt>
                <c:pt idx="12">
                  <c:v>Job Portal</c:v>
                </c:pt>
                <c:pt idx="13">
                  <c:v>SMX01 Data Center MEP Project</c:v>
                </c:pt>
                <c:pt idx="14">
                  <c:v>LG Ensol US System Maintenance Project</c:v>
                </c:pt>
              </c:strCache>
            </c:strRef>
          </c:cat>
          <c:val>
            <c:numRef>
              <c:f>Draft!$D$23:$D$37</c:f>
              <c:numCache>
                <c:formatCode>General</c:formatCode>
                <c:ptCount val="15"/>
              </c:numCache>
            </c:numRef>
          </c:val>
          <c:extLst>
            <c:ext xmlns:c16="http://schemas.microsoft.com/office/drawing/2014/chart" uri="{C3380CC4-5D6E-409C-BE32-E72D297353CC}">
              <c16:uniqueId val="{00000000-9D8F-4FD1-8F0B-8D1BFD0FDD4A}"/>
            </c:ext>
          </c:extLst>
        </c:ser>
        <c:ser>
          <c:idx val="1"/>
          <c:order val="1"/>
          <c:tx>
            <c:strRef>
              <c:f>Draft!$E$22</c:f>
              <c:strCache>
                <c:ptCount val="1"/>
                <c:pt idx="0">
                  <c:v>Completed Workload</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Draft!$B$23:$B$37</c:f>
              <c:strCache>
                <c:ptCount val="15"/>
                <c:pt idx="0">
                  <c:v>[LGUS] Purchasing Enhancement Project</c:v>
                </c:pt>
                <c:pt idx="1">
                  <c:v>GDC Smart Factory - SF Automation 2025</c:v>
                </c:pt>
                <c:pt idx="2">
                  <c:v>GDC Smart Factory - SF Core Unit 2025</c:v>
                </c:pt>
                <c:pt idx="3">
                  <c:v>GDC SF Intelligent Unit Testing Project</c:v>
                </c:pt>
                <c:pt idx="4">
                  <c:v>GDC Smart Factory - SF Manufacturing DX Team 2025</c:v>
                </c:pt>
                <c:pt idx="5">
                  <c:v>GDC Smart Factory - SF Process DX Team 2025</c:v>
                </c:pt>
                <c:pt idx="6">
                  <c:v>GDC SINGLEX Business Unit Testing Project</c:v>
                </c:pt>
                <c:pt idx="7">
                  <c:v>Network Installation for New Tobacco Factory of KT&amp;G </c:v>
                </c:pt>
                <c:pt idx="8">
                  <c:v>SHINE NGBS KB Bank System Maintenance</c:v>
                </c:pt>
                <c:pt idx="9">
                  <c:v>HLI</c:v>
                </c:pt>
                <c:pt idx="10">
                  <c:v>[Bank Sinarmas] Provision of Service of Card Management System</c:v>
                </c:pt>
                <c:pt idx="11">
                  <c:v>GDC SF Solution Unit Quality DX Team Project 2025</c:v>
                </c:pt>
                <c:pt idx="12">
                  <c:v>Job Portal</c:v>
                </c:pt>
                <c:pt idx="13">
                  <c:v>SMX01 Data Center MEP Project</c:v>
                </c:pt>
                <c:pt idx="14">
                  <c:v>LG Ensol US System Maintenance Project</c:v>
                </c:pt>
              </c:strCache>
            </c:strRef>
          </c:cat>
          <c:val>
            <c:numRef>
              <c:f>Draft!$E$23:$E$37</c:f>
              <c:numCache>
                <c:formatCode>General</c:formatCode>
                <c:ptCount val="15"/>
              </c:numCache>
            </c:numRef>
          </c:val>
          <c:extLst>
            <c:ext xmlns:c16="http://schemas.microsoft.com/office/drawing/2014/chart" uri="{C3380CC4-5D6E-409C-BE32-E72D297353CC}">
              <c16:uniqueId val="{00000001-9D8F-4FD1-8F0B-8D1BFD0FDD4A}"/>
            </c:ext>
          </c:extLst>
        </c:ser>
        <c:dLbls>
          <c:dLblPos val="outEnd"/>
          <c:showLegendKey val="0"/>
          <c:showVal val="1"/>
          <c:showCatName val="0"/>
          <c:showSerName val="0"/>
          <c:showPercent val="0"/>
          <c:showBubbleSize val="0"/>
        </c:dLbls>
        <c:gapWidth val="444"/>
        <c:overlap val="-90"/>
        <c:axId val="1849841999"/>
        <c:axId val="1849859759"/>
      </c:barChart>
      <c:catAx>
        <c:axId val="18498419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49859759"/>
        <c:crosses val="autoZero"/>
        <c:auto val="1"/>
        <c:lblAlgn val="ctr"/>
        <c:lblOffset val="100"/>
        <c:noMultiLvlLbl val="0"/>
      </c:catAx>
      <c:valAx>
        <c:axId val="1849859759"/>
        <c:scaling>
          <c:orientation val="minMax"/>
        </c:scaling>
        <c:delete val="1"/>
        <c:axPos val="l"/>
        <c:numFmt formatCode="General" sourceLinked="1"/>
        <c:majorTickMark val="none"/>
        <c:minorTickMark val="none"/>
        <c:tickLblPos val="nextTo"/>
        <c:crossAx val="184984199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Weekly Quality Report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Test!$D$22</c:f>
              <c:strCache>
                <c:ptCount val="1"/>
                <c:pt idx="0">
                  <c:v>Workload</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Test!$B$23:$B$37</c:f>
              <c:strCache>
                <c:ptCount val="15"/>
                <c:pt idx="0">
                  <c:v>[LGUS] Purchasing Enhancement Project</c:v>
                </c:pt>
                <c:pt idx="1">
                  <c:v>GDC Smart Factory - SF Automation 2025</c:v>
                </c:pt>
                <c:pt idx="2">
                  <c:v>GDC Smart Factory - SF Core Unit 2025</c:v>
                </c:pt>
                <c:pt idx="3">
                  <c:v>GDC SF Intelligent Unit Testing Project</c:v>
                </c:pt>
                <c:pt idx="4">
                  <c:v>GDC Smart Factory - SF Manufacturing DX Team 2025</c:v>
                </c:pt>
                <c:pt idx="5">
                  <c:v>GDC Smart Factory - SF Process DX Team 2025</c:v>
                </c:pt>
                <c:pt idx="6">
                  <c:v>GDC SINGLEX Business Unit Testing Project</c:v>
                </c:pt>
                <c:pt idx="7">
                  <c:v>Network Installation for New Tobacco Factory of KT&amp;G </c:v>
                </c:pt>
                <c:pt idx="8">
                  <c:v>SHINE NGBS KB Bank System Maintenance</c:v>
                </c:pt>
                <c:pt idx="9">
                  <c:v>HLI</c:v>
                </c:pt>
                <c:pt idx="10">
                  <c:v>[Bank Sinarmas] Provision of Service of Card Management System</c:v>
                </c:pt>
                <c:pt idx="11">
                  <c:v>GDC SF Solution Unit Quality DX Team Project 2025</c:v>
                </c:pt>
                <c:pt idx="12">
                  <c:v>Job Portal</c:v>
                </c:pt>
                <c:pt idx="13">
                  <c:v>SMX01 Data Center MEP Project</c:v>
                </c:pt>
                <c:pt idx="14">
                  <c:v>LG Ensol US System Maintenance Project</c:v>
                </c:pt>
              </c:strCache>
            </c:strRef>
          </c:cat>
          <c:val>
            <c:numRef>
              <c:f>Test!$D$23:$D$37</c:f>
              <c:numCache>
                <c:formatCode>General</c:formatCode>
                <c:ptCount val="15"/>
                <c:pt idx="0">
                  <c:v>65</c:v>
                </c:pt>
                <c:pt idx="1">
                  <c:v>61</c:v>
                </c:pt>
                <c:pt idx="2">
                  <c:v>81</c:v>
                </c:pt>
                <c:pt idx="3">
                  <c:v>92</c:v>
                </c:pt>
                <c:pt idx="4">
                  <c:v>90</c:v>
                </c:pt>
                <c:pt idx="5">
                  <c:v>75</c:v>
                </c:pt>
                <c:pt idx="6">
                  <c:v>89</c:v>
                </c:pt>
                <c:pt idx="7">
                  <c:v>86</c:v>
                </c:pt>
                <c:pt idx="8">
                  <c:v>92</c:v>
                </c:pt>
                <c:pt idx="9">
                  <c:v>95</c:v>
                </c:pt>
                <c:pt idx="10">
                  <c:v>57</c:v>
                </c:pt>
                <c:pt idx="11">
                  <c:v>100</c:v>
                </c:pt>
                <c:pt idx="12">
                  <c:v>54</c:v>
                </c:pt>
                <c:pt idx="13">
                  <c:v>92</c:v>
                </c:pt>
                <c:pt idx="14">
                  <c:v>80</c:v>
                </c:pt>
              </c:numCache>
            </c:numRef>
          </c:val>
          <c:extLst>
            <c:ext xmlns:c16="http://schemas.microsoft.com/office/drawing/2014/chart" uri="{C3380CC4-5D6E-409C-BE32-E72D297353CC}">
              <c16:uniqueId val="{00000000-0225-4BE2-B3D6-696175738C5F}"/>
            </c:ext>
          </c:extLst>
        </c:ser>
        <c:ser>
          <c:idx val="1"/>
          <c:order val="1"/>
          <c:tx>
            <c:strRef>
              <c:f>Test!$F$22</c:f>
              <c:strCache>
                <c:ptCount val="1"/>
                <c:pt idx="0">
                  <c:v>Completed</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Test!$B$23:$B$37</c:f>
              <c:strCache>
                <c:ptCount val="15"/>
                <c:pt idx="0">
                  <c:v>[LGUS] Purchasing Enhancement Project</c:v>
                </c:pt>
                <c:pt idx="1">
                  <c:v>GDC Smart Factory - SF Automation 2025</c:v>
                </c:pt>
                <c:pt idx="2">
                  <c:v>GDC Smart Factory - SF Core Unit 2025</c:v>
                </c:pt>
                <c:pt idx="3">
                  <c:v>GDC SF Intelligent Unit Testing Project</c:v>
                </c:pt>
                <c:pt idx="4">
                  <c:v>GDC Smart Factory - SF Manufacturing DX Team 2025</c:v>
                </c:pt>
                <c:pt idx="5">
                  <c:v>GDC Smart Factory - SF Process DX Team 2025</c:v>
                </c:pt>
                <c:pt idx="6">
                  <c:v>GDC SINGLEX Business Unit Testing Project</c:v>
                </c:pt>
                <c:pt idx="7">
                  <c:v>Network Installation for New Tobacco Factory of KT&amp;G </c:v>
                </c:pt>
                <c:pt idx="8">
                  <c:v>SHINE NGBS KB Bank System Maintenance</c:v>
                </c:pt>
                <c:pt idx="9">
                  <c:v>HLI</c:v>
                </c:pt>
                <c:pt idx="10">
                  <c:v>[Bank Sinarmas] Provision of Service of Card Management System</c:v>
                </c:pt>
                <c:pt idx="11">
                  <c:v>GDC SF Solution Unit Quality DX Team Project 2025</c:v>
                </c:pt>
                <c:pt idx="12">
                  <c:v>Job Portal</c:v>
                </c:pt>
                <c:pt idx="13">
                  <c:v>SMX01 Data Center MEP Project</c:v>
                </c:pt>
                <c:pt idx="14">
                  <c:v>LG Ensol US System Maintenance Project</c:v>
                </c:pt>
              </c:strCache>
            </c:strRef>
          </c:cat>
          <c:val>
            <c:numRef>
              <c:f>Test!$F$23:$F$37</c:f>
              <c:numCache>
                <c:formatCode>General</c:formatCode>
                <c:ptCount val="15"/>
                <c:pt idx="0">
                  <c:v>1</c:v>
                </c:pt>
                <c:pt idx="1">
                  <c:v>-5</c:v>
                </c:pt>
                <c:pt idx="2">
                  <c:v>29</c:v>
                </c:pt>
                <c:pt idx="3">
                  <c:v>21</c:v>
                </c:pt>
                <c:pt idx="4">
                  <c:v>40</c:v>
                </c:pt>
                <c:pt idx="5">
                  <c:v>20</c:v>
                </c:pt>
                <c:pt idx="6">
                  <c:v>20</c:v>
                </c:pt>
                <c:pt idx="7">
                  <c:v>6</c:v>
                </c:pt>
                <c:pt idx="8">
                  <c:v>27</c:v>
                </c:pt>
                <c:pt idx="9">
                  <c:v>45</c:v>
                </c:pt>
                <c:pt idx="10">
                  <c:v>-18</c:v>
                </c:pt>
                <c:pt idx="11">
                  <c:v>40</c:v>
                </c:pt>
                <c:pt idx="12">
                  <c:v>-19</c:v>
                </c:pt>
                <c:pt idx="13">
                  <c:v>42</c:v>
                </c:pt>
                <c:pt idx="14">
                  <c:v>17</c:v>
                </c:pt>
              </c:numCache>
            </c:numRef>
          </c:val>
          <c:extLst>
            <c:ext xmlns:c16="http://schemas.microsoft.com/office/drawing/2014/chart" uri="{C3380CC4-5D6E-409C-BE32-E72D297353CC}">
              <c16:uniqueId val="{00000001-0225-4BE2-B3D6-696175738C5F}"/>
            </c:ext>
          </c:extLst>
        </c:ser>
        <c:ser>
          <c:idx val="2"/>
          <c:order val="2"/>
          <c:tx>
            <c:strRef>
              <c:f>Test!$E$22</c:f>
              <c:strCache>
                <c:ptCount val="1"/>
                <c:pt idx="0">
                  <c:v>Inprogress</c:v>
                </c:pt>
              </c:strCache>
            </c:strRef>
          </c:tx>
          <c:spPr>
            <a:solidFill>
              <a:schemeClr val="accent3"/>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Test!$B$23:$B$37</c:f>
              <c:strCache>
                <c:ptCount val="15"/>
                <c:pt idx="0">
                  <c:v>[LGUS] Purchasing Enhancement Project</c:v>
                </c:pt>
                <c:pt idx="1">
                  <c:v>GDC Smart Factory - SF Automation 2025</c:v>
                </c:pt>
                <c:pt idx="2">
                  <c:v>GDC Smart Factory - SF Core Unit 2025</c:v>
                </c:pt>
                <c:pt idx="3">
                  <c:v>GDC SF Intelligent Unit Testing Project</c:v>
                </c:pt>
                <c:pt idx="4">
                  <c:v>GDC Smart Factory - SF Manufacturing DX Team 2025</c:v>
                </c:pt>
                <c:pt idx="5">
                  <c:v>GDC Smart Factory - SF Process DX Team 2025</c:v>
                </c:pt>
                <c:pt idx="6">
                  <c:v>GDC SINGLEX Business Unit Testing Project</c:v>
                </c:pt>
                <c:pt idx="7">
                  <c:v>Network Installation for New Tobacco Factory of KT&amp;G </c:v>
                </c:pt>
                <c:pt idx="8">
                  <c:v>SHINE NGBS KB Bank System Maintenance</c:v>
                </c:pt>
                <c:pt idx="9">
                  <c:v>HLI</c:v>
                </c:pt>
                <c:pt idx="10">
                  <c:v>[Bank Sinarmas] Provision of Service of Card Management System</c:v>
                </c:pt>
                <c:pt idx="11">
                  <c:v>GDC SF Solution Unit Quality DX Team Project 2025</c:v>
                </c:pt>
                <c:pt idx="12">
                  <c:v>Job Portal</c:v>
                </c:pt>
                <c:pt idx="13">
                  <c:v>SMX01 Data Center MEP Project</c:v>
                </c:pt>
                <c:pt idx="14">
                  <c:v>LG Ensol US System Maintenance Project</c:v>
                </c:pt>
              </c:strCache>
            </c:strRef>
          </c:cat>
          <c:val>
            <c:numRef>
              <c:f>Test!$E$23:$E$37</c:f>
              <c:numCache>
                <c:formatCode>General</c:formatCode>
                <c:ptCount val="15"/>
                <c:pt idx="0">
                  <c:v>64</c:v>
                </c:pt>
                <c:pt idx="1">
                  <c:v>66</c:v>
                </c:pt>
                <c:pt idx="2">
                  <c:v>52</c:v>
                </c:pt>
                <c:pt idx="3">
                  <c:v>71</c:v>
                </c:pt>
                <c:pt idx="4">
                  <c:v>50</c:v>
                </c:pt>
                <c:pt idx="5">
                  <c:v>55</c:v>
                </c:pt>
                <c:pt idx="6">
                  <c:v>69</c:v>
                </c:pt>
                <c:pt idx="7">
                  <c:v>80</c:v>
                </c:pt>
                <c:pt idx="8">
                  <c:v>65</c:v>
                </c:pt>
                <c:pt idx="9">
                  <c:v>50</c:v>
                </c:pt>
                <c:pt idx="10">
                  <c:v>75</c:v>
                </c:pt>
                <c:pt idx="11">
                  <c:v>60</c:v>
                </c:pt>
                <c:pt idx="12">
                  <c:v>73</c:v>
                </c:pt>
                <c:pt idx="13">
                  <c:v>50</c:v>
                </c:pt>
                <c:pt idx="14">
                  <c:v>63</c:v>
                </c:pt>
              </c:numCache>
            </c:numRef>
          </c:val>
          <c:extLst>
            <c:ext xmlns:c16="http://schemas.microsoft.com/office/drawing/2014/chart" uri="{C3380CC4-5D6E-409C-BE32-E72D297353CC}">
              <c16:uniqueId val="{00000001-5A93-498A-8A49-D5C0E00F086F}"/>
            </c:ext>
          </c:extLst>
        </c:ser>
        <c:dLbls>
          <c:dLblPos val="outEnd"/>
          <c:showLegendKey val="0"/>
          <c:showVal val="1"/>
          <c:showCatName val="0"/>
          <c:showSerName val="0"/>
          <c:showPercent val="0"/>
          <c:showBubbleSize val="0"/>
        </c:dLbls>
        <c:gapWidth val="444"/>
        <c:overlap val="-90"/>
        <c:axId val="1849841999"/>
        <c:axId val="1849859759"/>
      </c:barChart>
      <c:catAx>
        <c:axId val="18498419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49859759"/>
        <c:crosses val="autoZero"/>
        <c:auto val="1"/>
        <c:lblAlgn val="ctr"/>
        <c:lblOffset val="100"/>
        <c:noMultiLvlLbl val="0"/>
      </c:catAx>
      <c:valAx>
        <c:axId val="1849859759"/>
        <c:scaling>
          <c:orientation val="minMax"/>
        </c:scaling>
        <c:delete val="1"/>
        <c:axPos val="l"/>
        <c:numFmt formatCode="General" sourceLinked="1"/>
        <c:majorTickMark val="none"/>
        <c:minorTickMark val="none"/>
        <c:tickLblPos val="nextTo"/>
        <c:crossAx val="184984199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Weekly Quality Report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'Draft V.2'!$H$22</c:f>
              <c:strCache>
                <c:ptCount val="1"/>
                <c:pt idx="0">
                  <c:v>Productivity Rate</c:v>
                </c:pt>
              </c:strCache>
            </c:strRef>
          </c:tx>
          <c:spPr>
            <a:solidFill>
              <a:schemeClr val="accent3"/>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'Draft V.2'!$B$23:$B$31</c:f>
              <c:strCache>
                <c:ptCount val="9"/>
                <c:pt idx="0">
                  <c:v>Purchasing Enhancement Project</c:v>
                </c:pt>
                <c:pt idx="1">
                  <c:v>SF Automation 2025</c:v>
                </c:pt>
                <c:pt idx="2">
                  <c:v>SF Core Unit 2025</c:v>
                </c:pt>
                <c:pt idx="3">
                  <c:v>SF Manufacture DX Team 2025</c:v>
                </c:pt>
                <c:pt idx="4">
                  <c:v>SF Process DX Team 2025</c:v>
                </c:pt>
                <c:pt idx="5">
                  <c:v>SINGLEX Business Unit Testing Project</c:v>
                </c:pt>
                <c:pt idx="6">
                  <c:v>KB Bank System Maintenance</c:v>
                </c:pt>
                <c:pt idx="7">
                  <c:v>LGSM Career Job Portal</c:v>
                </c:pt>
                <c:pt idx="8">
                  <c:v>Bank Sinarmas Project</c:v>
                </c:pt>
              </c:strCache>
            </c:strRef>
          </c:cat>
          <c:val>
            <c:numRef>
              <c:f>'Draft V.2'!$H$23:$H$31</c:f>
              <c:numCache>
                <c:formatCode>0%</c:formatCode>
                <c:ptCount val="9"/>
                <c:pt idx="0">
                  <c:v>1.6</c:v>
                </c:pt>
                <c:pt idx="1">
                  <c:v>0.8571428571428571</c:v>
                </c:pt>
                <c:pt idx="2">
                  <c:v>2.5</c:v>
                </c:pt>
                <c:pt idx="3">
                  <c:v>8</c:v>
                </c:pt>
                <c:pt idx="4">
                  <c:v>1.75</c:v>
                </c:pt>
                <c:pt idx="5">
                  <c:v>3.3333333333333335</c:v>
                </c:pt>
                <c:pt idx="6">
                  <c:v>2.6666666666666665</c:v>
                </c:pt>
                <c:pt idx="7">
                  <c:v>0.55555555555555558</c:v>
                </c:pt>
                <c:pt idx="8">
                  <c:v>0.8571428571428571</c:v>
                </c:pt>
              </c:numCache>
            </c:numRef>
          </c:val>
          <c:extLst>
            <c:ext xmlns:c16="http://schemas.microsoft.com/office/drawing/2014/chart" uri="{C3380CC4-5D6E-409C-BE32-E72D297353CC}">
              <c16:uniqueId val="{00000000-CAF0-4374-9589-E1689ECB62E3}"/>
            </c:ext>
          </c:extLst>
        </c:ser>
        <c:ser>
          <c:idx val="3"/>
          <c:order val="3"/>
          <c:tx>
            <c:strRef>
              <c:f>'Draft V.2'!$I$22</c:f>
              <c:strCache>
                <c:ptCount val="1"/>
                <c:pt idx="0">
                  <c:v>Defect Density</c:v>
                </c:pt>
              </c:strCache>
            </c:strRef>
          </c:tx>
          <c:spPr>
            <a:solidFill>
              <a:schemeClr val="accent4"/>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'Draft V.2'!$B$23:$B$31</c:f>
              <c:strCache>
                <c:ptCount val="9"/>
                <c:pt idx="0">
                  <c:v>Purchasing Enhancement Project</c:v>
                </c:pt>
                <c:pt idx="1">
                  <c:v>SF Automation 2025</c:v>
                </c:pt>
                <c:pt idx="2">
                  <c:v>SF Core Unit 2025</c:v>
                </c:pt>
                <c:pt idx="3">
                  <c:v>SF Manufacture DX Team 2025</c:v>
                </c:pt>
                <c:pt idx="4">
                  <c:v>SF Process DX Team 2025</c:v>
                </c:pt>
                <c:pt idx="5">
                  <c:v>SINGLEX Business Unit Testing Project</c:v>
                </c:pt>
                <c:pt idx="6">
                  <c:v>KB Bank System Maintenance</c:v>
                </c:pt>
                <c:pt idx="7">
                  <c:v>LGSM Career Job Portal</c:v>
                </c:pt>
                <c:pt idx="8">
                  <c:v>Bank Sinarmas Project</c:v>
                </c:pt>
              </c:strCache>
            </c:strRef>
          </c:cat>
          <c:val>
            <c:numRef>
              <c:f>'Draft V.2'!$I$23:$I$31</c:f>
              <c:numCache>
                <c:formatCode>0.00</c:formatCode>
                <c:ptCount val="9"/>
                <c:pt idx="0">
                  <c:v>0.75</c:v>
                </c:pt>
                <c:pt idx="1">
                  <c:v>16.666666666666668</c:v>
                </c:pt>
                <c:pt idx="2">
                  <c:v>5.8</c:v>
                </c:pt>
                <c:pt idx="3">
                  <c:v>8.125</c:v>
                </c:pt>
                <c:pt idx="4">
                  <c:v>11.571428571428571</c:v>
                </c:pt>
                <c:pt idx="5">
                  <c:v>4.3</c:v>
                </c:pt>
                <c:pt idx="6">
                  <c:v>11.625</c:v>
                </c:pt>
                <c:pt idx="7">
                  <c:v>0.2</c:v>
                </c:pt>
                <c:pt idx="8">
                  <c:v>6.333333333333333</c:v>
                </c:pt>
              </c:numCache>
            </c:numRef>
          </c:val>
          <c:extLst>
            <c:ext xmlns:c16="http://schemas.microsoft.com/office/drawing/2014/chart" uri="{C3380CC4-5D6E-409C-BE32-E72D297353CC}">
              <c16:uniqueId val="{00000001-CAF0-4374-9589-E1689ECB62E3}"/>
            </c:ext>
          </c:extLst>
        </c:ser>
        <c:ser>
          <c:idx val="4"/>
          <c:order val="4"/>
          <c:tx>
            <c:strRef>
              <c:f>'Draft V.2'!$J$22</c:f>
              <c:strCache>
                <c:ptCount val="1"/>
                <c:pt idx="0">
                  <c:v>Defect Correction Rate</c:v>
                </c:pt>
              </c:strCache>
            </c:strRef>
          </c:tx>
          <c:spPr>
            <a:solidFill>
              <a:schemeClr val="accent5"/>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'Draft V.2'!$B$23:$B$31</c:f>
              <c:strCache>
                <c:ptCount val="9"/>
                <c:pt idx="0">
                  <c:v>Purchasing Enhancement Project</c:v>
                </c:pt>
                <c:pt idx="1">
                  <c:v>SF Automation 2025</c:v>
                </c:pt>
                <c:pt idx="2">
                  <c:v>SF Core Unit 2025</c:v>
                </c:pt>
                <c:pt idx="3">
                  <c:v>SF Manufacture DX Team 2025</c:v>
                </c:pt>
                <c:pt idx="4">
                  <c:v>SF Process DX Team 2025</c:v>
                </c:pt>
                <c:pt idx="5">
                  <c:v>SINGLEX Business Unit Testing Project</c:v>
                </c:pt>
                <c:pt idx="6">
                  <c:v>KB Bank System Maintenance</c:v>
                </c:pt>
                <c:pt idx="7">
                  <c:v>LGSM Career Job Portal</c:v>
                </c:pt>
                <c:pt idx="8">
                  <c:v>Bank Sinarmas Project</c:v>
                </c:pt>
              </c:strCache>
            </c:strRef>
          </c:cat>
          <c:val>
            <c:numRef>
              <c:f>'Draft V.2'!$J$23:$J$31</c:f>
              <c:numCache>
                <c:formatCode>0%</c:formatCode>
                <c:ptCount val="9"/>
                <c:pt idx="0">
                  <c:v>15.666666666666666</c:v>
                </c:pt>
                <c:pt idx="1">
                  <c:v>0.15</c:v>
                </c:pt>
                <c:pt idx="2">
                  <c:v>1.6896551724137931</c:v>
                </c:pt>
                <c:pt idx="3">
                  <c:v>3.0769230769230771E-2</c:v>
                </c:pt>
                <c:pt idx="4">
                  <c:v>0.29629629629629628</c:v>
                </c:pt>
                <c:pt idx="5">
                  <c:v>1.6744186046511629</c:v>
                </c:pt>
                <c:pt idx="6">
                  <c:v>3.2258064516129031E-2</c:v>
                </c:pt>
                <c:pt idx="7">
                  <c:v>79</c:v>
                </c:pt>
                <c:pt idx="8">
                  <c:v>1.5789473684210527</c:v>
                </c:pt>
              </c:numCache>
            </c:numRef>
          </c:val>
          <c:extLst>
            <c:ext xmlns:c16="http://schemas.microsoft.com/office/drawing/2014/chart" uri="{C3380CC4-5D6E-409C-BE32-E72D297353CC}">
              <c16:uniqueId val="{00000002-CAF0-4374-9589-E1689ECB62E3}"/>
            </c:ext>
          </c:extLst>
        </c:ser>
        <c:dLbls>
          <c:dLblPos val="outEnd"/>
          <c:showLegendKey val="0"/>
          <c:showVal val="1"/>
          <c:showCatName val="0"/>
          <c:showSerName val="0"/>
          <c:showPercent val="0"/>
          <c:showBubbleSize val="0"/>
        </c:dLbls>
        <c:gapWidth val="444"/>
        <c:overlap val="-90"/>
        <c:axId val="1849841999"/>
        <c:axId val="1849859759"/>
        <c:extLst>
          <c:ext xmlns:c15="http://schemas.microsoft.com/office/drawing/2012/chart" uri="{02D57815-91ED-43cb-92C2-25804820EDAC}">
            <c15:filteredBarSeries>
              <c15:ser>
                <c:idx val="0"/>
                <c:order val="0"/>
                <c:tx>
                  <c:strRef>
                    <c:extLst>
                      <c:ext uri="{02D57815-91ED-43cb-92C2-25804820EDAC}">
                        <c15:formulaRef>
                          <c15:sqref>'Draft V.2'!$D$22</c15:sqref>
                        </c15:formulaRef>
                      </c:ext>
                    </c:extLst>
                    <c:strCache>
                      <c:ptCount val="1"/>
                      <c:pt idx="0">
                        <c:v>Total Workload (Planned)</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ormulaRef>
                          <c15:sqref>'Draft V.2'!$B$23:$B$31</c15:sqref>
                        </c15:formulaRef>
                      </c:ext>
                    </c:extLst>
                    <c:strCache>
                      <c:ptCount val="9"/>
                      <c:pt idx="0">
                        <c:v>Purchasing Enhancement Project</c:v>
                      </c:pt>
                      <c:pt idx="1">
                        <c:v>SF Automation 2025</c:v>
                      </c:pt>
                      <c:pt idx="2">
                        <c:v>SF Core Unit 2025</c:v>
                      </c:pt>
                      <c:pt idx="3">
                        <c:v>SF Manufacture DX Team 2025</c:v>
                      </c:pt>
                      <c:pt idx="4">
                        <c:v>SF Process DX Team 2025</c:v>
                      </c:pt>
                      <c:pt idx="5">
                        <c:v>SINGLEX Business Unit Testing Project</c:v>
                      </c:pt>
                      <c:pt idx="6">
                        <c:v>KB Bank System Maintenance</c:v>
                      </c:pt>
                      <c:pt idx="7">
                        <c:v>LGSM Career Job Portal</c:v>
                      </c:pt>
                      <c:pt idx="8">
                        <c:v>Bank Sinarmas Project</c:v>
                      </c:pt>
                    </c:strCache>
                  </c:strRef>
                </c:cat>
                <c:val>
                  <c:numRef>
                    <c:extLst>
                      <c:ext uri="{02D57815-91ED-43cb-92C2-25804820EDAC}">
                        <c15:formulaRef>
                          <c15:sqref>'Draft V.2'!$D$23:$D$31</c15:sqref>
                        </c15:formulaRef>
                      </c:ext>
                    </c:extLst>
                    <c:numCache>
                      <c:formatCode>General</c:formatCode>
                      <c:ptCount val="9"/>
                      <c:pt idx="0">
                        <c:v>5</c:v>
                      </c:pt>
                      <c:pt idx="1">
                        <c:v>7</c:v>
                      </c:pt>
                      <c:pt idx="2">
                        <c:v>2</c:v>
                      </c:pt>
                      <c:pt idx="3">
                        <c:v>1</c:v>
                      </c:pt>
                      <c:pt idx="4">
                        <c:v>4</c:v>
                      </c:pt>
                      <c:pt idx="5">
                        <c:v>3</c:v>
                      </c:pt>
                      <c:pt idx="6">
                        <c:v>3</c:v>
                      </c:pt>
                      <c:pt idx="7">
                        <c:v>9</c:v>
                      </c:pt>
                      <c:pt idx="8">
                        <c:v>7</c:v>
                      </c:pt>
                    </c:numCache>
                  </c:numRef>
                </c:val>
                <c:extLst>
                  <c:ext xmlns:c16="http://schemas.microsoft.com/office/drawing/2014/chart" uri="{C3380CC4-5D6E-409C-BE32-E72D297353CC}">
                    <c16:uniqueId val="{00000003-CAF0-4374-9589-E1689ECB62E3}"/>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'Draft V.2'!$E$22</c15:sqref>
                        </c15:formulaRef>
                      </c:ext>
                    </c:extLst>
                    <c:strCache>
                      <c:ptCount val="1"/>
                      <c:pt idx="0">
                        <c:v>Completed Workload (Actual)</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xmlns:c15="http://schemas.microsoft.com/office/drawing/2012/chart">
                      <c:ext xmlns:c15="http://schemas.microsoft.com/office/drawing/2012/chart" uri="{02D57815-91ED-43cb-92C2-25804820EDAC}">
                        <c15:formulaRef>
                          <c15:sqref>'Draft V.2'!$B$23:$B$31</c15:sqref>
                        </c15:formulaRef>
                      </c:ext>
                    </c:extLst>
                    <c:strCache>
                      <c:ptCount val="9"/>
                      <c:pt idx="0">
                        <c:v>Purchasing Enhancement Project</c:v>
                      </c:pt>
                      <c:pt idx="1">
                        <c:v>SF Automation 2025</c:v>
                      </c:pt>
                      <c:pt idx="2">
                        <c:v>SF Core Unit 2025</c:v>
                      </c:pt>
                      <c:pt idx="3">
                        <c:v>SF Manufacture DX Team 2025</c:v>
                      </c:pt>
                      <c:pt idx="4">
                        <c:v>SF Process DX Team 2025</c:v>
                      </c:pt>
                      <c:pt idx="5">
                        <c:v>SINGLEX Business Unit Testing Project</c:v>
                      </c:pt>
                      <c:pt idx="6">
                        <c:v>KB Bank System Maintenance</c:v>
                      </c:pt>
                      <c:pt idx="7">
                        <c:v>LGSM Career Job Portal</c:v>
                      </c:pt>
                      <c:pt idx="8">
                        <c:v>Bank Sinarmas Project</c:v>
                      </c:pt>
                    </c:strCache>
                  </c:strRef>
                </c:cat>
                <c:val>
                  <c:numRef>
                    <c:extLst xmlns:c15="http://schemas.microsoft.com/office/drawing/2012/chart">
                      <c:ext xmlns:c15="http://schemas.microsoft.com/office/drawing/2012/chart" uri="{02D57815-91ED-43cb-92C2-25804820EDAC}">
                        <c15:formulaRef>
                          <c15:sqref>'Draft V.2'!$E$23:$E$31</c15:sqref>
                        </c15:formulaRef>
                      </c:ext>
                    </c:extLst>
                    <c:numCache>
                      <c:formatCode>General</c:formatCode>
                      <c:ptCount val="9"/>
                      <c:pt idx="0">
                        <c:v>8</c:v>
                      </c:pt>
                      <c:pt idx="1">
                        <c:v>6</c:v>
                      </c:pt>
                      <c:pt idx="2">
                        <c:v>5</c:v>
                      </c:pt>
                      <c:pt idx="3">
                        <c:v>8</c:v>
                      </c:pt>
                      <c:pt idx="4">
                        <c:v>7</c:v>
                      </c:pt>
                      <c:pt idx="5">
                        <c:v>10</c:v>
                      </c:pt>
                      <c:pt idx="6">
                        <c:v>8</c:v>
                      </c:pt>
                      <c:pt idx="7">
                        <c:v>5</c:v>
                      </c:pt>
                      <c:pt idx="8">
                        <c:v>6</c:v>
                      </c:pt>
                    </c:numCache>
                  </c:numRef>
                </c:val>
                <c:extLst xmlns:c15="http://schemas.microsoft.com/office/drawing/2012/chart">
                  <c:ext xmlns:c16="http://schemas.microsoft.com/office/drawing/2014/chart" uri="{C3380CC4-5D6E-409C-BE32-E72D297353CC}">
                    <c16:uniqueId val="{00000004-CAF0-4374-9589-E1689ECB62E3}"/>
                  </c:ext>
                </c:extLst>
              </c15:ser>
            </c15:filteredBarSeries>
          </c:ext>
        </c:extLst>
      </c:barChart>
      <c:catAx>
        <c:axId val="18498419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49859759"/>
        <c:crosses val="autoZero"/>
        <c:auto val="1"/>
        <c:lblAlgn val="ctr"/>
        <c:lblOffset val="100"/>
        <c:noMultiLvlLbl val="0"/>
      </c:catAx>
      <c:valAx>
        <c:axId val="1849859759"/>
        <c:scaling>
          <c:orientation val="minMax"/>
        </c:scaling>
        <c:delete val="1"/>
        <c:axPos val="l"/>
        <c:numFmt formatCode="0%" sourceLinked="1"/>
        <c:majorTickMark val="none"/>
        <c:minorTickMark val="none"/>
        <c:tickLblPos val="nextTo"/>
        <c:crossAx val="184984199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123825</xdr:rowOff>
    </xdr:from>
    <xdr:to>
      <xdr:col>13</xdr:col>
      <xdr:colOff>523875</xdr:colOff>
      <xdr:row>20</xdr:row>
      <xdr:rowOff>85725</xdr:rowOff>
    </xdr:to>
    <xdr:graphicFrame macro="">
      <xdr:nvGraphicFramePr>
        <xdr:cNvPr id="2" name="Chart 1">
          <a:extLst>
            <a:ext uri="{FF2B5EF4-FFF2-40B4-BE49-F238E27FC236}">
              <a16:creationId xmlns:a16="http://schemas.microsoft.com/office/drawing/2014/main" id="{AD3BB4D2-D4C8-4F3D-83C7-318C109345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4</xdr:row>
      <xdr:rowOff>121104</xdr:rowOff>
    </xdr:from>
    <xdr:to>
      <xdr:col>12</xdr:col>
      <xdr:colOff>576943</xdr:colOff>
      <xdr:row>19</xdr:row>
      <xdr:rowOff>161925</xdr:rowOff>
    </xdr:to>
    <xdr:graphicFrame macro="">
      <xdr:nvGraphicFramePr>
        <xdr:cNvPr id="2" name="Chart 1">
          <a:extLst>
            <a:ext uri="{FF2B5EF4-FFF2-40B4-BE49-F238E27FC236}">
              <a16:creationId xmlns:a16="http://schemas.microsoft.com/office/drawing/2014/main" id="{E334ADBD-1E26-4EAE-9CC5-E145F0BE2C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xdr:colOff>
      <xdr:row>4</xdr:row>
      <xdr:rowOff>142876</xdr:rowOff>
    </xdr:from>
    <xdr:to>
      <xdr:col>11</xdr:col>
      <xdr:colOff>0</xdr:colOff>
      <xdr:row>19</xdr:row>
      <xdr:rowOff>183697</xdr:rowOff>
    </xdr:to>
    <xdr:graphicFrame macro="">
      <xdr:nvGraphicFramePr>
        <xdr:cNvPr id="3" name="Chart 1">
          <a:extLst>
            <a:ext uri="{FF2B5EF4-FFF2-40B4-BE49-F238E27FC236}">
              <a16:creationId xmlns:a16="http://schemas.microsoft.com/office/drawing/2014/main" id="{6C8A5C00-3D6B-4510-A3E9-5DC884D254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ECF8D-56DF-49FC-8315-AD2C5F363D87}">
  <sheetPr>
    <tabColor theme="7"/>
  </sheetPr>
  <dimension ref="A1:J9"/>
  <sheetViews>
    <sheetView workbookViewId="0">
      <selection sqref="A1:XFD1"/>
    </sheetView>
  </sheetViews>
  <sheetFormatPr defaultColWidth="9.140625" defaultRowHeight="15"/>
  <cols>
    <col min="1" max="1" width="28.42578125" style="82" bestFit="1" customWidth="1"/>
    <col min="2" max="2" width="16.140625" style="82" bestFit="1" customWidth="1"/>
    <col min="3" max="3" width="9.5703125" style="82" bestFit="1" customWidth="1"/>
    <col min="4" max="4" width="10.140625" style="82" bestFit="1" customWidth="1"/>
    <col min="5" max="5" width="8.28515625" style="82" bestFit="1" customWidth="1"/>
    <col min="6" max="6" width="14.85546875" style="82" bestFit="1" customWidth="1"/>
    <col min="7" max="7" width="9" style="82" bestFit="1" customWidth="1"/>
    <col min="8" max="8" width="8.5703125" style="82" bestFit="1" customWidth="1"/>
    <col min="9" max="9" width="8.7109375" style="82" bestFit="1" customWidth="1"/>
    <col min="10" max="10" width="29.85546875" style="82" customWidth="1"/>
    <col min="11" max="16384" width="9.140625" style="82"/>
  </cols>
  <sheetData>
    <row r="1" spans="1:10" ht="87.75">
      <c r="A1" s="63" t="s">
        <v>0</v>
      </c>
      <c r="B1" s="63" t="s">
        <v>1</v>
      </c>
      <c r="C1" s="63" t="s">
        <v>2</v>
      </c>
      <c r="D1" s="63" t="s">
        <v>3</v>
      </c>
      <c r="E1" s="63" t="s">
        <v>4</v>
      </c>
      <c r="F1" s="63" t="s">
        <v>5</v>
      </c>
      <c r="G1" s="63" t="s">
        <v>6</v>
      </c>
      <c r="H1" s="63" t="s">
        <v>7</v>
      </c>
      <c r="I1" s="63" t="s">
        <v>8</v>
      </c>
      <c r="J1" s="63" t="s">
        <v>9</v>
      </c>
    </row>
    <row r="2" spans="1:10" ht="93" customHeight="1">
      <c r="A2" s="64" t="s">
        <v>10</v>
      </c>
      <c r="B2" s="93" t="s">
        <v>11</v>
      </c>
      <c r="C2" s="66">
        <v>5</v>
      </c>
      <c r="D2" s="66">
        <v>5</v>
      </c>
      <c r="E2" s="66">
        <v>0</v>
      </c>
      <c r="F2" s="66">
        <v>0</v>
      </c>
      <c r="G2" s="67">
        <f>IFERROR(D2/C2,"N/A")</f>
        <v>1</v>
      </c>
      <c r="H2" s="68">
        <f t="shared" ref="G2:I8" si="0">IFERROR(E2/D2,"N/A")</f>
        <v>0</v>
      </c>
      <c r="I2" s="67" t="str">
        <f t="shared" si="0"/>
        <v>N/A</v>
      </c>
      <c r="J2" s="64" t="s">
        <v>12</v>
      </c>
    </row>
    <row r="3" spans="1:10" ht="93" customHeight="1">
      <c r="A3" s="64" t="s">
        <v>13</v>
      </c>
      <c r="B3" s="93" t="s">
        <v>14</v>
      </c>
      <c r="C3" s="66">
        <v>9</v>
      </c>
      <c r="D3" s="66">
        <v>8</v>
      </c>
      <c r="E3" s="66">
        <v>0</v>
      </c>
      <c r="F3" s="66">
        <v>0</v>
      </c>
      <c r="G3" s="67">
        <f t="shared" si="0"/>
        <v>0.88888888888888884</v>
      </c>
      <c r="H3" s="68">
        <f t="shared" si="0"/>
        <v>0</v>
      </c>
      <c r="I3" s="67" t="str">
        <f t="shared" si="0"/>
        <v>N/A</v>
      </c>
      <c r="J3" s="69" t="s">
        <v>15</v>
      </c>
    </row>
    <row r="4" spans="1:10" ht="93" customHeight="1">
      <c r="A4" s="64" t="s">
        <v>16</v>
      </c>
      <c r="B4" s="93" t="s">
        <v>14</v>
      </c>
      <c r="C4" s="66">
        <v>11</v>
      </c>
      <c r="D4" s="66">
        <v>11</v>
      </c>
      <c r="E4" s="66">
        <v>1</v>
      </c>
      <c r="F4" s="66">
        <v>1</v>
      </c>
      <c r="G4" s="67">
        <f t="shared" si="0"/>
        <v>1</v>
      </c>
      <c r="H4" s="68">
        <f t="shared" si="0"/>
        <v>9.0909090909090912E-2</v>
      </c>
      <c r="I4" s="67">
        <f t="shared" si="0"/>
        <v>1</v>
      </c>
      <c r="J4" s="64" t="s">
        <v>17</v>
      </c>
    </row>
    <row r="5" spans="1:10" ht="93" customHeight="1">
      <c r="A5" s="64" t="s">
        <v>18</v>
      </c>
      <c r="B5" s="93" t="s">
        <v>14</v>
      </c>
      <c r="C5" s="66">
        <v>4</v>
      </c>
      <c r="D5" s="66">
        <v>3</v>
      </c>
      <c r="E5" s="66">
        <v>0</v>
      </c>
      <c r="F5" s="66">
        <v>0</v>
      </c>
      <c r="G5" s="67">
        <f t="shared" si="0"/>
        <v>0.75</v>
      </c>
      <c r="H5" s="68">
        <f t="shared" si="0"/>
        <v>0</v>
      </c>
      <c r="I5" s="67" t="str">
        <f t="shared" si="0"/>
        <v>N/A</v>
      </c>
      <c r="J5" s="64" t="s">
        <v>19</v>
      </c>
    </row>
    <row r="6" spans="1:10" ht="93" customHeight="1">
      <c r="A6" s="64" t="s">
        <v>20</v>
      </c>
      <c r="B6" s="93" t="s">
        <v>14</v>
      </c>
      <c r="C6" s="66">
        <v>26</v>
      </c>
      <c r="D6" s="66">
        <v>25</v>
      </c>
      <c r="E6" s="66">
        <v>0</v>
      </c>
      <c r="F6" s="66">
        <v>0</v>
      </c>
      <c r="G6" s="67">
        <f t="shared" si="0"/>
        <v>0.96153846153846156</v>
      </c>
      <c r="H6" s="68">
        <f t="shared" si="0"/>
        <v>0</v>
      </c>
      <c r="I6" s="67" t="str">
        <f t="shared" si="0"/>
        <v>N/A</v>
      </c>
      <c r="J6" s="64" t="s">
        <v>21</v>
      </c>
    </row>
    <row r="7" spans="1:10" ht="93" customHeight="1">
      <c r="A7" s="91" t="s">
        <v>22</v>
      </c>
      <c r="B7" s="93" t="s">
        <v>11</v>
      </c>
      <c r="C7" s="66">
        <v>4</v>
      </c>
      <c r="D7" s="66">
        <v>4</v>
      </c>
      <c r="E7" s="66">
        <v>1</v>
      </c>
      <c r="F7" s="66">
        <v>1</v>
      </c>
      <c r="G7" s="67">
        <f t="shared" si="0"/>
        <v>1</v>
      </c>
      <c r="H7" s="68">
        <f t="shared" si="0"/>
        <v>0.25</v>
      </c>
      <c r="I7" s="67">
        <f t="shared" si="0"/>
        <v>1</v>
      </c>
      <c r="J7" s="64" t="s">
        <v>23</v>
      </c>
    </row>
    <row r="8" spans="1:10" ht="93" customHeight="1">
      <c r="A8" s="64" t="s">
        <v>24</v>
      </c>
      <c r="B8" s="93" t="s">
        <v>11</v>
      </c>
      <c r="C8" s="66">
        <v>11</v>
      </c>
      <c r="D8" s="66">
        <v>10</v>
      </c>
      <c r="E8" s="66">
        <v>0</v>
      </c>
      <c r="F8" s="66">
        <v>0</v>
      </c>
      <c r="G8" s="67">
        <f t="shared" si="0"/>
        <v>0.90909090909090906</v>
      </c>
      <c r="H8" s="68">
        <f t="shared" si="0"/>
        <v>0</v>
      </c>
      <c r="I8" s="67" t="str">
        <f t="shared" si="0"/>
        <v>N/A</v>
      </c>
      <c r="J8" s="91" t="s">
        <v>25</v>
      </c>
    </row>
    <row r="9" spans="1:10" ht="15.75">
      <c r="A9" s="112" t="s">
        <v>26</v>
      </c>
      <c r="B9" s="112"/>
      <c r="C9" s="94">
        <f>SUM(C2:C8)</f>
        <v>70</v>
      </c>
      <c r="D9" s="94">
        <f>SUM(D2:D8)</f>
        <v>66</v>
      </c>
      <c r="E9" s="94">
        <f>SUM(E2:E8)</f>
        <v>2</v>
      </c>
      <c r="F9" s="94">
        <f>SUM(F2:F8)</f>
        <v>2</v>
      </c>
      <c r="G9" s="95">
        <f>IFERROR(AVERAGE(G2:G8),"N/A")</f>
        <v>0.92993117993117991</v>
      </c>
      <c r="H9" s="96">
        <f>IFERROR(AVERAGE(H2:H8),"N/A")</f>
        <v>4.8701298701298704E-2</v>
      </c>
      <c r="I9" s="95">
        <f>IFERROR(AVERAGE(I2:I8),"N/A")</f>
        <v>1</v>
      </c>
      <c r="J9" s="92"/>
    </row>
  </sheetData>
  <mergeCells count="1">
    <mergeCell ref="A9:B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21D98-462C-4800-9589-682364551057}">
  <sheetPr>
    <tabColor theme="7"/>
  </sheetPr>
  <dimension ref="A1:J11"/>
  <sheetViews>
    <sheetView zoomScale="85" zoomScaleNormal="85" workbookViewId="0">
      <selection activeCell="A4" sqref="A4"/>
    </sheetView>
  </sheetViews>
  <sheetFormatPr defaultColWidth="9.140625" defaultRowHeight="15"/>
  <cols>
    <col min="1" max="1" width="40.7109375" style="82" bestFit="1" customWidth="1"/>
    <col min="2" max="2" width="11.28515625" style="82" bestFit="1" customWidth="1"/>
    <col min="3" max="3" width="11.7109375" style="82" bestFit="1" customWidth="1"/>
    <col min="4" max="4" width="12.7109375" style="82" bestFit="1" customWidth="1"/>
    <col min="5" max="5" width="8.28515625" style="82" bestFit="1" customWidth="1"/>
    <col min="6" max="6" width="12.28515625" style="82" customWidth="1"/>
    <col min="7" max="7" width="9" style="82" bestFit="1" customWidth="1"/>
    <col min="8" max="8" width="10.140625" style="82" customWidth="1"/>
    <col min="9" max="9" width="8.7109375" style="82" bestFit="1" customWidth="1"/>
    <col min="10" max="10" width="72.5703125" style="86" customWidth="1"/>
    <col min="11" max="16384" width="9.140625" style="82"/>
  </cols>
  <sheetData>
    <row r="1" spans="1:10" s="86" customFormat="1" ht="70.5">
      <c r="A1" s="63" t="s">
        <v>0</v>
      </c>
      <c r="B1" s="63" t="s">
        <v>1</v>
      </c>
      <c r="C1" s="63" t="s">
        <v>2</v>
      </c>
      <c r="D1" s="63" t="s">
        <v>3</v>
      </c>
      <c r="E1" s="63" t="s">
        <v>4</v>
      </c>
      <c r="F1" s="63" t="s">
        <v>5</v>
      </c>
      <c r="G1" s="63" t="s">
        <v>6</v>
      </c>
      <c r="H1" s="63" t="s">
        <v>7</v>
      </c>
      <c r="I1" s="63" t="s">
        <v>8</v>
      </c>
      <c r="J1" s="63" t="s">
        <v>9</v>
      </c>
    </row>
    <row r="2" spans="1:10" ht="53.25" customHeight="1">
      <c r="A2" s="83" t="s">
        <v>10</v>
      </c>
      <c r="B2" s="84" t="s">
        <v>27</v>
      </c>
      <c r="C2" s="79">
        <v>26</v>
      </c>
      <c r="D2" s="79">
        <v>26</v>
      </c>
      <c r="E2" s="79">
        <v>0</v>
      </c>
      <c r="F2" s="79">
        <v>0</v>
      </c>
      <c r="G2" s="80">
        <f>IFERROR(D2/C2,"N/A")</f>
        <v>1</v>
      </c>
      <c r="H2" s="81">
        <f t="shared" ref="G2:I10" si="0">IFERROR(E2/D2,"N/A")</f>
        <v>0</v>
      </c>
      <c r="I2" s="80" t="str">
        <f t="shared" si="0"/>
        <v>N/A</v>
      </c>
      <c r="J2" s="69" t="s">
        <v>28</v>
      </c>
    </row>
    <row r="3" spans="1:10" ht="53.25" customHeight="1">
      <c r="A3" s="83" t="s">
        <v>13</v>
      </c>
      <c r="B3" s="84" t="s">
        <v>29</v>
      </c>
      <c r="C3" s="79">
        <v>5</v>
      </c>
      <c r="D3" s="79">
        <v>5</v>
      </c>
      <c r="E3" s="79">
        <v>0</v>
      </c>
      <c r="F3" s="79">
        <v>0</v>
      </c>
      <c r="G3" s="80">
        <f t="shared" si="0"/>
        <v>1</v>
      </c>
      <c r="H3" s="81">
        <f t="shared" si="0"/>
        <v>0</v>
      </c>
      <c r="I3" s="80" t="str">
        <f t="shared" si="0"/>
        <v>N/A</v>
      </c>
      <c r="J3" s="69" t="s">
        <v>28</v>
      </c>
    </row>
    <row r="4" spans="1:10" ht="53.25" customHeight="1">
      <c r="A4" s="83" t="s">
        <v>16</v>
      </c>
      <c r="B4" s="84" t="s">
        <v>29</v>
      </c>
      <c r="C4" s="79">
        <v>25</v>
      </c>
      <c r="D4" s="79">
        <v>19</v>
      </c>
      <c r="E4" s="79">
        <v>0</v>
      </c>
      <c r="F4" s="79">
        <v>0</v>
      </c>
      <c r="G4" s="80">
        <f t="shared" si="0"/>
        <v>0.76</v>
      </c>
      <c r="H4" s="81">
        <f t="shared" si="0"/>
        <v>0</v>
      </c>
      <c r="I4" s="80" t="str">
        <f t="shared" si="0"/>
        <v>N/A</v>
      </c>
      <c r="J4" s="64" t="s">
        <v>30</v>
      </c>
    </row>
    <row r="5" spans="1:10" ht="53.25" customHeight="1">
      <c r="A5" s="83" t="s">
        <v>31</v>
      </c>
      <c r="B5" s="84" t="s">
        <v>29</v>
      </c>
      <c r="C5" s="79">
        <v>2</v>
      </c>
      <c r="D5" s="79">
        <v>2</v>
      </c>
      <c r="E5" s="79">
        <v>0</v>
      </c>
      <c r="F5" s="79">
        <v>0</v>
      </c>
      <c r="G5" s="80">
        <f t="shared" si="0"/>
        <v>1</v>
      </c>
      <c r="H5" s="81">
        <f t="shared" si="0"/>
        <v>0</v>
      </c>
      <c r="I5" s="80" t="str">
        <f t="shared" si="0"/>
        <v>N/A</v>
      </c>
      <c r="J5" s="64" t="s">
        <v>28</v>
      </c>
    </row>
    <row r="6" spans="1:10" ht="53.25" customHeight="1">
      <c r="A6" s="83" t="s">
        <v>18</v>
      </c>
      <c r="B6" s="84" t="s">
        <v>29</v>
      </c>
      <c r="C6" s="79">
        <v>29</v>
      </c>
      <c r="D6" s="79">
        <v>27</v>
      </c>
      <c r="E6" s="79">
        <v>0</v>
      </c>
      <c r="F6" s="79">
        <v>0</v>
      </c>
      <c r="G6" s="80">
        <f t="shared" si="0"/>
        <v>0.93103448275862066</v>
      </c>
      <c r="H6" s="81">
        <f t="shared" si="0"/>
        <v>0</v>
      </c>
      <c r="I6" s="80" t="str">
        <f t="shared" si="0"/>
        <v>N/A</v>
      </c>
      <c r="J6" s="64" t="s">
        <v>32</v>
      </c>
    </row>
    <row r="7" spans="1:10" ht="53.25" customHeight="1">
      <c r="A7" s="83" t="s">
        <v>20</v>
      </c>
      <c r="B7" s="84" t="s">
        <v>27</v>
      </c>
      <c r="C7" s="79">
        <v>24</v>
      </c>
      <c r="D7" s="79">
        <v>24</v>
      </c>
      <c r="E7" s="79">
        <v>4</v>
      </c>
      <c r="F7" s="79">
        <v>4</v>
      </c>
      <c r="G7" s="80">
        <f t="shared" si="0"/>
        <v>1</v>
      </c>
      <c r="H7" s="81">
        <f t="shared" si="0"/>
        <v>0.16666666666666666</v>
      </c>
      <c r="I7" s="80">
        <f t="shared" si="0"/>
        <v>1</v>
      </c>
      <c r="J7" s="64" t="s">
        <v>33</v>
      </c>
    </row>
    <row r="8" spans="1:10" ht="53.25" customHeight="1">
      <c r="A8" s="85" t="s">
        <v>22</v>
      </c>
      <c r="B8" s="84" t="s">
        <v>27</v>
      </c>
      <c r="C8" s="87">
        <v>15</v>
      </c>
      <c r="D8" s="79">
        <v>10</v>
      </c>
      <c r="E8" s="79">
        <v>0</v>
      </c>
      <c r="F8" s="79">
        <v>0</v>
      </c>
      <c r="G8" s="80">
        <f t="shared" si="0"/>
        <v>0.66666666666666663</v>
      </c>
      <c r="H8" s="81">
        <f t="shared" si="0"/>
        <v>0</v>
      </c>
      <c r="I8" s="80" t="str">
        <f t="shared" si="0"/>
        <v>N/A</v>
      </c>
      <c r="J8" s="64" t="s">
        <v>34</v>
      </c>
    </row>
    <row r="9" spans="1:10" ht="53.25" customHeight="1">
      <c r="A9" s="83" t="s">
        <v>24</v>
      </c>
      <c r="B9" s="84" t="s">
        <v>27</v>
      </c>
      <c r="C9" s="79">
        <v>33</v>
      </c>
      <c r="D9" s="79">
        <v>33</v>
      </c>
      <c r="E9" s="79">
        <v>0</v>
      </c>
      <c r="F9" s="79">
        <v>0</v>
      </c>
      <c r="G9" s="80">
        <f t="shared" si="0"/>
        <v>1</v>
      </c>
      <c r="H9" s="81">
        <f t="shared" si="0"/>
        <v>0</v>
      </c>
      <c r="I9" s="80" t="str">
        <f t="shared" si="0"/>
        <v>N/A</v>
      </c>
      <c r="J9" s="91" t="s">
        <v>35</v>
      </c>
    </row>
    <row r="10" spans="1:10" ht="53.25" customHeight="1">
      <c r="A10" s="83" t="s">
        <v>36</v>
      </c>
      <c r="B10" s="84" t="s">
        <v>27</v>
      </c>
      <c r="C10" s="79">
        <v>159</v>
      </c>
      <c r="D10" s="79">
        <v>170</v>
      </c>
      <c r="E10" s="79">
        <v>0</v>
      </c>
      <c r="F10" s="79">
        <v>0</v>
      </c>
      <c r="G10" s="80">
        <f t="shared" si="0"/>
        <v>1.0691823899371069</v>
      </c>
      <c r="H10" s="81">
        <f t="shared" si="0"/>
        <v>0</v>
      </c>
      <c r="I10" s="80" t="str">
        <f t="shared" si="0"/>
        <v>N/A</v>
      </c>
      <c r="J10" s="91" t="s">
        <v>37</v>
      </c>
    </row>
    <row r="11" spans="1:10" ht="45" customHeight="1">
      <c r="A11" s="113" t="s">
        <v>26</v>
      </c>
      <c r="B11" s="113"/>
      <c r="C11" s="88">
        <f>SUM(C2:C10)</f>
        <v>318</v>
      </c>
      <c r="D11" s="88">
        <f>SUM(D2:D10)</f>
        <v>316</v>
      </c>
      <c r="E11" s="88">
        <f>SUM(E2:E10)</f>
        <v>4</v>
      </c>
      <c r="F11" s="88">
        <f>SUM(F2:F10)</f>
        <v>4</v>
      </c>
      <c r="G11" s="89">
        <f>IFERROR(AVERAGE(G2:G10),"N/A")</f>
        <v>0.93632039326248828</v>
      </c>
      <c r="H11" s="90">
        <f>IFERROR(AVERAGE(H2:H10),"N/A")</f>
        <v>1.8518518518518517E-2</v>
      </c>
      <c r="I11" s="89">
        <f>IFERROR(AVERAGE(I2:I10),"N/A")</f>
        <v>1</v>
      </c>
      <c r="J11" s="92"/>
    </row>
  </sheetData>
  <mergeCells count="1">
    <mergeCell ref="A11:B1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20CED-90A3-4C50-8199-449CFFED87CA}">
  <sheetPr>
    <tabColor rgb="FF92D050"/>
  </sheetPr>
  <dimension ref="A2:G37"/>
  <sheetViews>
    <sheetView topLeftCell="A16" workbookViewId="0">
      <selection activeCell="B23" sqref="B23:B37"/>
    </sheetView>
  </sheetViews>
  <sheetFormatPr defaultColWidth="9.140625" defaultRowHeight="14.65"/>
  <cols>
    <col min="1" max="1" width="13.28515625" style="1" customWidth="1"/>
    <col min="2" max="2" width="55" style="1" customWidth="1"/>
    <col min="3" max="3" width="23.7109375" style="1" customWidth="1"/>
    <col min="4" max="4" width="9.7109375" style="1" bestFit="1" customWidth="1"/>
    <col min="5" max="5" width="10.7109375" style="1" bestFit="1" customWidth="1"/>
    <col min="6" max="6" width="11.7109375" style="1" customWidth="1"/>
    <col min="7" max="7" width="58.85546875" style="1" bestFit="1" customWidth="1"/>
    <col min="8" max="16384" width="9.140625" style="1"/>
  </cols>
  <sheetData>
    <row r="2" spans="2:3">
      <c r="B2" s="9" t="s">
        <v>38</v>
      </c>
      <c r="C2" s="9">
        <f>D31</f>
        <v>0</v>
      </c>
    </row>
    <row r="3" spans="2:3">
      <c r="B3" s="9" t="s">
        <v>39</v>
      </c>
      <c r="C3" s="9">
        <f>E31</f>
        <v>0</v>
      </c>
    </row>
    <row r="4" spans="2:3">
      <c r="B4" s="9" t="s">
        <v>40</v>
      </c>
      <c r="C4" s="10">
        <f>F31</f>
        <v>0</v>
      </c>
    </row>
    <row r="22" spans="1:7" ht="25.7">
      <c r="B22" s="2" t="s">
        <v>0</v>
      </c>
      <c r="C22" s="2" t="s">
        <v>41</v>
      </c>
      <c r="D22" s="2" t="s">
        <v>38</v>
      </c>
      <c r="E22" s="2" t="s">
        <v>39</v>
      </c>
      <c r="F22" s="2" t="s">
        <v>6</v>
      </c>
      <c r="G22" s="2" t="s">
        <v>42</v>
      </c>
    </row>
    <row r="23" spans="1:7">
      <c r="A23" s="25" t="s">
        <v>43</v>
      </c>
      <c r="B23" s="11" t="s">
        <v>44</v>
      </c>
      <c r="C23" s="4"/>
      <c r="D23" s="5"/>
      <c r="E23" s="5"/>
      <c r="F23" s="6"/>
      <c r="G23" s="3"/>
    </row>
    <row r="24" spans="1:7">
      <c r="A24" s="25" t="s">
        <v>45</v>
      </c>
      <c r="B24" s="12" t="s">
        <v>46</v>
      </c>
      <c r="C24" s="4"/>
      <c r="D24" s="5"/>
      <c r="E24" s="5"/>
      <c r="F24" s="6"/>
      <c r="G24" s="7"/>
    </row>
    <row r="25" spans="1:7">
      <c r="A25" s="25" t="s">
        <v>45</v>
      </c>
      <c r="B25" s="12" t="s">
        <v>47</v>
      </c>
      <c r="C25" s="4"/>
      <c r="D25" s="5"/>
      <c r="E25" s="5"/>
      <c r="F25" s="6"/>
      <c r="G25" s="3"/>
    </row>
    <row r="26" spans="1:7">
      <c r="A26" s="25" t="s">
        <v>48</v>
      </c>
      <c r="B26" s="12" t="s">
        <v>49</v>
      </c>
      <c r="C26" s="4"/>
      <c r="D26" s="5"/>
      <c r="E26" s="5"/>
      <c r="F26" s="6"/>
      <c r="G26" s="3"/>
    </row>
    <row r="27" spans="1:7">
      <c r="A27" s="25" t="s">
        <v>45</v>
      </c>
      <c r="B27" s="12" t="s">
        <v>50</v>
      </c>
      <c r="C27" s="4"/>
      <c r="D27" s="5"/>
      <c r="E27" s="5"/>
      <c r="F27" s="6"/>
      <c r="G27" s="3"/>
    </row>
    <row r="28" spans="1:7">
      <c r="A28" s="25" t="s">
        <v>45</v>
      </c>
      <c r="B28" s="12" t="s">
        <v>51</v>
      </c>
      <c r="C28" s="4"/>
      <c r="D28" s="5"/>
      <c r="E28" s="5"/>
      <c r="F28" s="6"/>
      <c r="G28" s="3"/>
    </row>
    <row r="29" spans="1:7">
      <c r="A29" s="25" t="s">
        <v>52</v>
      </c>
      <c r="B29" s="12" t="s">
        <v>53</v>
      </c>
      <c r="C29" s="21"/>
      <c r="D29" s="22"/>
      <c r="E29" s="22"/>
      <c r="F29" s="23"/>
      <c r="G29" s="24"/>
    </row>
    <row r="30" spans="1:7" ht="20.65" customHeight="1">
      <c r="A30" s="25" t="s">
        <v>54</v>
      </c>
      <c r="B30" s="20" t="s">
        <v>55</v>
      </c>
      <c r="C30" s="13"/>
      <c r="D30" s="14"/>
      <c r="E30" s="14"/>
      <c r="F30" s="15"/>
      <c r="G30" s="16"/>
    </row>
    <row r="31" spans="1:7">
      <c r="A31" s="25" t="s">
        <v>56</v>
      </c>
      <c r="B31" s="20" t="s">
        <v>57</v>
      </c>
      <c r="C31" s="17"/>
      <c r="D31" s="18"/>
      <c r="E31" s="18"/>
      <c r="F31" s="19"/>
      <c r="G31" s="17"/>
    </row>
    <row r="32" spans="1:7">
      <c r="A32" s="25" t="s">
        <v>58</v>
      </c>
      <c r="B32" s="20" t="s">
        <v>59</v>
      </c>
      <c r="C32" s="17"/>
      <c r="D32" s="17"/>
      <c r="E32" s="17"/>
      <c r="F32" s="17"/>
      <c r="G32" s="17"/>
    </row>
    <row r="33" spans="1:7">
      <c r="A33" s="25" t="s">
        <v>60</v>
      </c>
      <c r="B33" s="20" t="s">
        <v>61</v>
      </c>
      <c r="C33" s="17"/>
      <c r="D33" s="17"/>
      <c r="E33" s="17"/>
      <c r="F33" s="17"/>
      <c r="G33" s="17"/>
    </row>
    <row r="34" spans="1:7">
      <c r="A34" s="25" t="s">
        <v>45</v>
      </c>
      <c r="B34" s="20" t="s">
        <v>62</v>
      </c>
      <c r="C34" s="17"/>
      <c r="D34" s="17"/>
      <c r="E34" s="17"/>
      <c r="F34" s="17"/>
      <c r="G34" s="17"/>
    </row>
    <row r="35" spans="1:7">
      <c r="A35" s="25" t="s">
        <v>63</v>
      </c>
      <c r="B35" s="20" t="s">
        <v>64</v>
      </c>
      <c r="C35" s="17"/>
      <c r="D35" s="17"/>
      <c r="E35" s="17"/>
      <c r="F35" s="17"/>
      <c r="G35" s="17"/>
    </row>
    <row r="36" spans="1:7">
      <c r="A36" s="25" t="s">
        <v>65</v>
      </c>
      <c r="B36" s="20" t="s">
        <v>66</v>
      </c>
      <c r="C36" s="17"/>
      <c r="D36" s="17"/>
      <c r="E36" s="17"/>
      <c r="F36" s="17"/>
      <c r="G36" s="17"/>
    </row>
    <row r="37" spans="1:7">
      <c r="A37" s="25" t="s">
        <v>67</v>
      </c>
      <c r="B37" s="20" t="s">
        <v>68</v>
      </c>
      <c r="C37" s="17"/>
      <c r="D37" s="17"/>
      <c r="E37" s="17"/>
      <c r="F37" s="17"/>
      <c r="G37" s="17"/>
    </row>
  </sheetData>
  <pageMargins left="0.7" right="0.7" top="0.75" bottom="0.75" header="0.3" footer="0.3"/>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734BB-30DB-4270-8973-6B19FBC6CCA7}">
  <sheetPr>
    <tabColor theme="7"/>
  </sheetPr>
  <dimension ref="B2:H37"/>
  <sheetViews>
    <sheetView zoomScale="70" zoomScaleNormal="70" workbookViewId="0">
      <selection activeCell="H29" sqref="H29"/>
    </sheetView>
  </sheetViews>
  <sheetFormatPr defaultColWidth="9.140625" defaultRowHeight="14.65"/>
  <cols>
    <col min="2" max="2" width="39" customWidth="1"/>
    <col min="3" max="3" width="23.7109375" customWidth="1"/>
    <col min="4" max="4" width="9.7109375" bestFit="1" customWidth="1"/>
    <col min="5" max="5" width="9.7109375" customWidth="1"/>
    <col min="6" max="6" width="10.7109375" bestFit="1" customWidth="1"/>
    <col min="7" max="7" width="11.7109375" customWidth="1"/>
    <col min="8" max="8" width="102.28515625" customWidth="1"/>
  </cols>
  <sheetData>
    <row r="2" spans="2:3">
      <c r="B2" s="26" t="s">
        <v>38</v>
      </c>
      <c r="C2" s="26">
        <f ca="1">D30</f>
        <v>86</v>
      </c>
    </row>
    <row r="3" spans="2:3">
      <c r="B3" s="26" t="s">
        <v>39</v>
      </c>
      <c r="C3" s="26">
        <f ca="1">F30</f>
        <v>6</v>
      </c>
    </row>
    <row r="4" spans="2:3">
      <c r="B4" s="26" t="s">
        <v>40</v>
      </c>
      <c r="C4" s="27">
        <f ca="1">G30</f>
        <v>6.9767441860465115E-2</v>
      </c>
    </row>
    <row r="22" spans="2:8" ht="25.7">
      <c r="B22" s="28" t="s">
        <v>0</v>
      </c>
      <c r="C22" s="28" t="s">
        <v>1</v>
      </c>
      <c r="D22" s="28" t="s">
        <v>69</v>
      </c>
      <c r="E22" s="28" t="s">
        <v>70</v>
      </c>
      <c r="F22" s="28" t="s">
        <v>71</v>
      </c>
      <c r="G22" s="28" t="s">
        <v>6</v>
      </c>
      <c r="H22" s="28" t="s">
        <v>42</v>
      </c>
    </row>
    <row r="23" spans="2:8">
      <c r="B23" s="11" t="s">
        <v>44</v>
      </c>
      <c r="C23" s="30" t="s">
        <v>72</v>
      </c>
      <c r="D23" s="31">
        <f ca="1">RANDBETWEEN(50,80)</f>
        <v>65</v>
      </c>
      <c r="E23" s="31">
        <f ca="1">RANDBETWEEN(51,80)</f>
        <v>64</v>
      </c>
      <c r="F23" s="31">
        <f ca="1">D23-E23</f>
        <v>1</v>
      </c>
      <c r="G23" s="32">
        <f ca="1">F23/D23</f>
        <v>1.5384615384615385E-2</v>
      </c>
      <c r="H23" s="29"/>
    </row>
    <row r="24" spans="2:8">
      <c r="B24" s="12" t="s">
        <v>46</v>
      </c>
      <c r="C24" s="30" t="s">
        <v>73</v>
      </c>
      <c r="D24" s="31">
        <f t="shared" ref="D24:D37" ca="1" si="0">RANDBETWEEN(51,100)</f>
        <v>61</v>
      </c>
      <c r="E24" s="31">
        <f t="shared" ref="E24:E37" ca="1" si="1">RANDBETWEEN(50,80)</f>
        <v>66</v>
      </c>
      <c r="F24" s="31">
        <f t="shared" ref="F24:F29" ca="1" si="2">D24-E24</f>
        <v>-5</v>
      </c>
      <c r="G24" s="32">
        <f t="shared" ref="G24:G29" ca="1" si="3">F24/D24</f>
        <v>-8.1967213114754092E-2</v>
      </c>
      <c r="H24" s="33"/>
    </row>
    <row r="25" spans="2:8">
      <c r="B25" s="12" t="s">
        <v>47</v>
      </c>
      <c r="C25" s="30" t="s">
        <v>73</v>
      </c>
      <c r="D25" s="31">
        <f t="shared" ca="1" si="0"/>
        <v>81</v>
      </c>
      <c r="E25" s="31">
        <f t="shared" ca="1" si="1"/>
        <v>52</v>
      </c>
      <c r="F25" s="31">
        <f t="shared" ca="1" si="2"/>
        <v>29</v>
      </c>
      <c r="G25" s="32">
        <f t="shared" ca="1" si="3"/>
        <v>0.35802469135802467</v>
      </c>
      <c r="H25" s="29"/>
    </row>
    <row r="26" spans="2:8">
      <c r="B26" s="12" t="s">
        <v>49</v>
      </c>
      <c r="C26" s="30" t="s">
        <v>73</v>
      </c>
      <c r="D26" s="31">
        <f t="shared" ca="1" si="0"/>
        <v>92</v>
      </c>
      <c r="E26" s="31">
        <f t="shared" ca="1" si="1"/>
        <v>71</v>
      </c>
      <c r="F26" s="31">
        <f t="shared" ca="1" si="2"/>
        <v>21</v>
      </c>
      <c r="G26" s="32">
        <f t="shared" ca="1" si="3"/>
        <v>0.22826086956521738</v>
      </c>
      <c r="H26" s="29"/>
    </row>
    <row r="27" spans="2:8">
      <c r="B27" s="12" t="s">
        <v>50</v>
      </c>
      <c r="C27" s="30" t="s">
        <v>72</v>
      </c>
      <c r="D27" s="31">
        <f t="shared" ca="1" si="0"/>
        <v>90</v>
      </c>
      <c r="E27" s="31">
        <f t="shared" ca="1" si="1"/>
        <v>50</v>
      </c>
      <c r="F27" s="31">
        <f t="shared" ca="1" si="2"/>
        <v>40</v>
      </c>
      <c r="G27" s="32">
        <f t="shared" ca="1" si="3"/>
        <v>0.44444444444444442</v>
      </c>
      <c r="H27" s="29"/>
    </row>
    <row r="28" spans="2:8">
      <c r="B28" s="12" t="s">
        <v>51</v>
      </c>
      <c r="C28" s="30" t="s">
        <v>72</v>
      </c>
      <c r="D28" s="31">
        <f t="shared" ca="1" si="0"/>
        <v>75</v>
      </c>
      <c r="E28" s="31">
        <f t="shared" ca="1" si="1"/>
        <v>55</v>
      </c>
      <c r="F28" s="31">
        <f t="shared" ca="1" si="2"/>
        <v>20</v>
      </c>
      <c r="G28" s="32">
        <f t="shared" ca="1" si="3"/>
        <v>0.26666666666666666</v>
      </c>
      <c r="H28" s="29"/>
    </row>
    <row r="29" spans="2:8">
      <c r="B29" s="12" t="s">
        <v>53</v>
      </c>
      <c r="C29" s="30" t="s">
        <v>72</v>
      </c>
      <c r="D29" s="31">
        <f t="shared" ca="1" si="0"/>
        <v>89</v>
      </c>
      <c r="E29" s="31">
        <f ca="1">RANDBETWEEN(50,80)</f>
        <v>69</v>
      </c>
      <c r="F29" s="31">
        <f t="shared" ca="1" si="2"/>
        <v>20</v>
      </c>
      <c r="G29" s="32">
        <f t="shared" ca="1" si="3"/>
        <v>0.2247191011235955</v>
      </c>
      <c r="H29" s="34"/>
    </row>
    <row r="30" spans="2:8" ht="25.7">
      <c r="B30" s="20" t="s">
        <v>55</v>
      </c>
      <c r="C30" s="30" t="s">
        <v>74</v>
      </c>
      <c r="D30" s="31">
        <f t="shared" ca="1" si="0"/>
        <v>86</v>
      </c>
      <c r="E30" s="31">
        <f t="shared" ca="1" si="1"/>
        <v>80</v>
      </c>
      <c r="F30" s="31">
        <f t="shared" ref="F30:F37" ca="1" si="4">D30-E30</f>
        <v>6</v>
      </c>
      <c r="G30" s="32">
        <f t="shared" ref="G30:G37" ca="1" si="5">F30/D30</f>
        <v>6.9767441860465115E-2</v>
      </c>
      <c r="H30" s="34"/>
    </row>
    <row r="31" spans="2:8">
      <c r="B31" s="20" t="s">
        <v>57</v>
      </c>
      <c r="C31" s="30" t="s">
        <v>75</v>
      </c>
      <c r="D31" s="31">
        <f t="shared" ca="1" si="0"/>
        <v>92</v>
      </c>
      <c r="E31" s="31">
        <f ca="1">RANDBETWEEN(50,80)</f>
        <v>65</v>
      </c>
      <c r="F31" s="31">
        <f t="shared" ca="1" si="4"/>
        <v>27</v>
      </c>
      <c r="G31" s="32">
        <f t="shared" ca="1" si="5"/>
        <v>0.29347826086956524</v>
      </c>
      <c r="H31" s="34"/>
    </row>
    <row r="32" spans="2:8">
      <c r="B32" s="20" t="s">
        <v>59</v>
      </c>
      <c r="C32" s="30" t="s">
        <v>76</v>
      </c>
      <c r="D32" s="31">
        <f t="shared" ca="1" si="0"/>
        <v>95</v>
      </c>
      <c r="E32" s="31">
        <f ca="1">RANDBETWEEN(50,80)</f>
        <v>50</v>
      </c>
      <c r="F32" s="31">
        <f t="shared" ca="1" si="4"/>
        <v>45</v>
      </c>
      <c r="G32" s="32">
        <f t="shared" ca="1" si="5"/>
        <v>0.47368421052631576</v>
      </c>
      <c r="H32" s="34"/>
    </row>
    <row r="33" spans="2:8" ht="25.7">
      <c r="B33" s="20" t="s">
        <v>61</v>
      </c>
      <c r="C33" s="30" t="s">
        <v>77</v>
      </c>
      <c r="D33" s="31">
        <f t="shared" ca="1" si="0"/>
        <v>57</v>
      </c>
      <c r="E33" s="31">
        <f t="shared" ca="1" si="1"/>
        <v>75</v>
      </c>
      <c r="F33" s="31">
        <f t="shared" ca="1" si="4"/>
        <v>-18</v>
      </c>
      <c r="G33" s="32">
        <f t="shared" ca="1" si="5"/>
        <v>-0.31578947368421051</v>
      </c>
      <c r="H33" s="34"/>
    </row>
    <row r="34" spans="2:8">
      <c r="B34" s="20" t="s">
        <v>62</v>
      </c>
      <c r="C34" s="30" t="s">
        <v>78</v>
      </c>
      <c r="D34" s="31">
        <f t="shared" ca="1" si="0"/>
        <v>100</v>
      </c>
      <c r="E34" s="31">
        <f t="shared" ca="1" si="1"/>
        <v>60</v>
      </c>
      <c r="F34" s="31">
        <f t="shared" ca="1" si="4"/>
        <v>40</v>
      </c>
      <c r="G34" s="32">
        <f t="shared" ca="1" si="5"/>
        <v>0.4</v>
      </c>
      <c r="H34" s="34"/>
    </row>
    <row r="35" spans="2:8">
      <c r="B35" s="20" t="s">
        <v>64</v>
      </c>
      <c r="C35" s="30" t="s">
        <v>79</v>
      </c>
      <c r="D35" s="31">
        <f t="shared" ca="1" si="0"/>
        <v>54</v>
      </c>
      <c r="E35" s="31">
        <f t="shared" ca="1" si="1"/>
        <v>73</v>
      </c>
      <c r="F35" s="31">
        <f t="shared" ca="1" si="4"/>
        <v>-19</v>
      </c>
      <c r="G35" s="32">
        <f t="shared" ca="1" si="5"/>
        <v>-0.35185185185185186</v>
      </c>
      <c r="H35" s="34"/>
    </row>
    <row r="36" spans="2:8">
      <c r="B36" s="20" t="s">
        <v>66</v>
      </c>
      <c r="C36" s="30" t="s">
        <v>80</v>
      </c>
      <c r="D36" s="31">
        <f t="shared" ca="1" si="0"/>
        <v>92</v>
      </c>
      <c r="E36" s="31">
        <f t="shared" ca="1" si="1"/>
        <v>50</v>
      </c>
      <c r="F36" s="31">
        <f t="shared" ca="1" si="4"/>
        <v>42</v>
      </c>
      <c r="G36" s="32">
        <f t="shared" ca="1" si="5"/>
        <v>0.45652173913043476</v>
      </c>
      <c r="H36" s="34"/>
    </row>
    <row r="37" spans="2:8">
      <c r="B37" s="20" t="s">
        <v>68</v>
      </c>
      <c r="C37" s="30" t="s">
        <v>81</v>
      </c>
      <c r="D37" s="31">
        <f t="shared" ca="1" si="0"/>
        <v>80</v>
      </c>
      <c r="E37" s="31">
        <f t="shared" ca="1" si="1"/>
        <v>63</v>
      </c>
      <c r="F37" s="31">
        <f t="shared" ca="1" si="4"/>
        <v>17</v>
      </c>
      <c r="G37" s="32">
        <f t="shared" ca="1" si="5"/>
        <v>0.21249999999999999</v>
      </c>
      <c r="H37" s="34"/>
    </row>
  </sheetData>
  <phoneticPr fontId="12" type="noConversion"/>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14987-09CB-4B57-A60D-AD59D27FF409}">
  <sheetPr>
    <tabColor theme="7"/>
  </sheetPr>
  <dimension ref="A1:J12"/>
  <sheetViews>
    <sheetView zoomScale="85" zoomScaleNormal="85" workbookViewId="0">
      <selection activeCell="B10" sqref="B10"/>
    </sheetView>
  </sheetViews>
  <sheetFormatPr defaultColWidth="9.140625" defaultRowHeight="14.25" customHeight="1"/>
  <cols>
    <col min="1" max="1" width="32" style="45" customWidth="1"/>
    <col min="2" max="2" width="19.140625" style="45" customWidth="1"/>
    <col min="3" max="3" width="18.42578125" style="45" customWidth="1"/>
    <col min="4" max="6" width="16.85546875" style="45" customWidth="1"/>
    <col min="7" max="8" width="11.7109375" style="45" customWidth="1"/>
    <col min="9" max="9" width="14" style="45" customWidth="1"/>
    <col min="10" max="10" width="58.85546875" style="45" bestFit="1" customWidth="1"/>
    <col min="11" max="16384" width="9.140625" style="45"/>
  </cols>
  <sheetData>
    <row r="1" spans="1:10" ht="36.6" customHeight="1">
      <c r="A1" s="46" t="s">
        <v>0</v>
      </c>
      <c r="B1" s="46" t="s">
        <v>1</v>
      </c>
      <c r="C1" s="46" t="s">
        <v>2</v>
      </c>
      <c r="D1" s="46" t="s">
        <v>3</v>
      </c>
      <c r="E1" s="46" t="s">
        <v>4</v>
      </c>
      <c r="F1" s="46" t="s">
        <v>5</v>
      </c>
      <c r="G1" s="46" t="s">
        <v>6</v>
      </c>
      <c r="H1" s="46" t="s">
        <v>7</v>
      </c>
      <c r="I1" s="46" t="s">
        <v>8</v>
      </c>
      <c r="J1" s="46" t="s">
        <v>9</v>
      </c>
    </row>
    <row r="2" spans="1:10" ht="30.6" customHeight="1">
      <c r="A2" s="47" t="s">
        <v>10</v>
      </c>
      <c r="B2" s="48" t="s">
        <v>82</v>
      </c>
      <c r="C2" s="49">
        <v>2</v>
      </c>
      <c r="D2" s="49">
        <v>2</v>
      </c>
      <c r="E2" s="49">
        <v>0</v>
      </c>
      <c r="F2" s="49">
        <v>0</v>
      </c>
      <c r="G2" s="50">
        <f t="shared" ref="G2:G10" si="0">IFERROR(D2/C2,"N/A")</f>
        <v>1</v>
      </c>
      <c r="H2" s="51">
        <f t="shared" ref="H2:H10" si="1">IFERROR(E2/D2,"N/A")</f>
        <v>0</v>
      </c>
      <c r="I2" s="50" t="str">
        <f t="shared" ref="I2:I10" si="2">IFERROR(F2/E2,"N/A")</f>
        <v>N/A</v>
      </c>
      <c r="J2" s="52" t="s">
        <v>83</v>
      </c>
    </row>
    <row r="3" spans="1:10" ht="30.6" customHeight="1">
      <c r="A3" s="47" t="s">
        <v>13</v>
      </c>
      <c r="B3" s="48" t="s">
        <v>84</v>
      </c>
      <c r="C3" s="49">
        <v>5</v>
      </c>
      <c r="D3" s="49">
        <v>5</v>
      </c>
      <c r="E3" s="49">
        <v>0</v>
      </c>
      <c r="F3" s="49">
        <v>0</v>
      </c>
      <c r="G3" s="50">
        <f t="shared" si="0"/>
        <v>1</v>
      </c>
      <c r="H3" s="51">
        <f t="shared" si="1"/>
        <v>0</v>
      </c>
      <c r="I3" s="50" t="str">
        <f t="shared" si="2"/>
        <v>N/A</v>
      </c>
      <c r="J3" s="52" t="s">
        <v>83</v>
      </c>
    </row>
    <row r="4" spans="1:10" ht="30.6" customHeight="1">
      <c r="A4" s="47" t="s">
        <v>16</v>
      </c>
      <c r="B4" s="48" t="s">
        <v>84</v>
      </c>
      <c r="C4" s="49">
        <v>27</v>
      </c>
      <c r="D4" s="49">
        <v>26</v>
      </c>
      <c r="E4" s="49">
        <v>2</v>
      </c>
      <c r="F4" s="49">
        <v>2</v>
      </c>
      <c r="G4" s="50">
        <f t="shared" si="0"/>
        <v>0.96296296296296291</v>
      </c>
      <c r="H4" s="53">
        <f t="shared" si="1"/>
        <v>7.6923076923076927E-2</v>
      </c>
      <c r="I4" s="50">
        <f t="shared" si="2"/>
        <v>1</v>
      </c>
      <c r="J4" s="47" t="s">
        <v>85</v>
      </c>
    </row>
    <row r="5" spans="1:10" ht="30.6" customHeight="1">
      <c r="A5" s="47" t="s">
        <v>31</v>
      </c>
      <c r="B5" s="48" t="s">
        <v>84</v>
      </c>
      <c r="C5" s="49">
        <v>3</v>
      </c>
      <c r="D5" s="49">
        <v>3</v>
      </c>
      <c r="E5" s="49">
        <v>0</v>
      </c>
      <c r="F5" s="49">
        <v>0</v>
      </c>
      <c r="G5" s="50">
        <f t="shared" si="0"/>
        <v>1</v>
      </c>
      <c r="H5" s="51">
        <f t="shared" si="1"/>
        <v>0</v>
      </c>
      <c r="I5" s="50" t="str">
        <f t="shared" si="2"/>
        <v>N/A</v>
      </c>
      <c r="J5" s="52" t="s">
        <v>83</v>
      </c>
    </row>
    <row r="6" spans="1:10" ht="30.6" customHeight="1">
      <c r="A6" s="47" t="s">
        <v>18</v>
      </c>
      <c r="B6" s="48" t="s">
        <v>84</v>
      </c>
      <c r="C6" s="49">
        <v>16</v>
      </c>
      <c r="D6" s="49">
        <v>16</v>
      </c>
      <c r="E6" s="49">
        <v>0</v>
      </c>
      <c r="F6" s="49">
        <v>0</v>
      </c>
      <c r="G6" s="50">
        <f t="shared" si="0"/>
        <v>1</v>
      </c>
      <c r="H6" s="51">
        <f t="shared" si="1"/>
        <v>0</v>
      </c>
      <c r="I6" s="54" t="str">
        <f t="shared" si="2"/>
        <v>N/A</v>
      </c>
      <c r="J6" s="52" t="s">
        <v>83</v>
      </c>
    </row>
    <row r="7" spans="1:10" ht="30.6" customHeight="1">
      <c r="A7" s="47" t="s">
        <v>20</v>
      </c>
      <c r="B7" s="48" t="s">
        <v>82</v>
      </c>
      <c r="C7" s="49">
        <v>27</v>
      </c>
      <c r="D7" s="49">
        <v>27</v>
      </c>
      <c r="E7" s="49">
        <v>2</v>
      </c>
      <c r="F7" s="49">
        <v>2</v>
      </c>
      <c r="G7" s="50">
        <f t="shared" si="0"/>
        <v>1</v>
      </c>
      <c r="H7" s="53">
        <f t="shared" si="1"/>
        <v>7.407407407407407E-2</v>
      </c>
      <c r="I7" s="54">
        <f t="shared" si="2"/>
        <v>1</v>
      </c>
      <c r="J7" s="55" t="s">
        <v>86</v>
      </c>
    </row>
    <row r="8" spans="1:10" ht="30.6" customHeight="1">
      <c r="A8" s="56" t="s">
        <v>22</v>
      </c>
      <c r="B8" s="48" t="s">
        <v>82</v>
      </c>
      <c r="C8" s="49">
        <v>26</v>
      </c>
      <c r="D8" s="49">
        <v>25</v>
      </c>
      <c r="E8" s="49">
        <v>3</v>
      </c>
      <c r="F8" s="49">
        <v>3</v>
      </c>
      <c r="G8" s="50">
        <f>IFERROR(D8/C8,"N/A")</f>
        <v>0.96153846153846156</v>
      </c>
      <c r="H8" s="51">
        <f t="shared" si="1"/>
        <v>0.12</v>
      </c>
      <c r="I8" s="54">
        <f t="shared" si="2"/>
        <v>1</v>
      </c>
      <c r="J8" s="55" t="s">
        <v>87</v>
      </c>
    </row>
    <row r="9" spans="1:10" ht="30.6" customHeight="1">
      <c r="A9" s="55" t="s">
        <v>24</v>
      </c>
      <c r="B9" s="57" t="s">
        <v>82</v>
      </c>
      <c r="C9" s="49">
        <v>13</v>
      </c>
      <c r="D9" s="49">
        <v>13</v>
      </c>
      <c r="E9" s="49">
        <v>5</v>
      </c>
      <c r="F9" s="49">
        <v>5</v>
      </c>
      <c r="G9" s="50">
        <f t="shared" si="0"/>
        <v>1</v>
      </c>
      <c r="H9" s="53">
        <f t="shared" si="1"/>
        <v>0.38461538461538464</v>
      </c>
      <c r="I9" s="54">
        <f t="shared" si="2"/>
        <v>1</v>
      </c>
      <c r="J9" s="58" t="s">
        <v>88</v>
      </c>
    </row>
    <row r="10" spans="1:10" ht="30.6" customHeight="1">
      <c r="A10" s="55" t="s">
        <v>36</v>
      </c>
      <c r="B10" s="57" t="s">
        <v>82</v>
      </c>
      <c r="C10" s="49">
        <v>160</v>
      </c>
      <c r="D10" s="49">
        <v>197</v>
      </c>
      <c r="E10" s="49">
        <v>0</v>
      </c>
      <c r="F10" s="49">
        <v>0</v>
      </c>
      <c r="G10" s="50">
        <f t="shared" si="0"/>
        <v>1.23125</v>
      </c>
      <c r="H10" s="51">
        <f t="shared" si="1"/>
        <v>0</v>
      </c>
      <c r="I10" s="54" t="str">
        <f t="shared" si="2"/>
        <v>N/A</v>
      </c>
      <c r="J10" s="58" t="s">
        <v>89</v>
      </c>
    </row>
    <row r="11" spans="1:10" ht="25.5" customHeight="1">
      <c r="A11" s="114" t="s">
        <v>26</v>
      </c>
      <c r="B11" s="115"/>
      <c r="C11" s="59">
        <f>SUM(C2:C10)</f>
        <v>279</v>
      </c>
      <c r="D11" s="59">
        <f>SUM(D2:D10)</f>
        <v>314</v>
      </c>
      <c r="E11" s="59">
        <f t="shared" ref="E11:F11" si="3">SUM(E2:E10)</f>
        <v>12</v>
      </c>
      <c r="F11" s="59">
        <f t="shared" si="3"/>
        <v>12</v>
      </c>
      <c r="G11" s="60">
        <f>IFERROR(AVERAGE(G2:G10),"N/A")</f>
        <v>1.0173057138334916</v>
      </c>
      <c r="H11" s="61">
        <f>IFERROR(AVERAGE(H2:H10),"N/A")</f>
        <v>7.284583729028174E-2</v>
      </c>
      <c r="I11" s="60">
        <f>IFERROR(AVERAGE(I2:I10),"N/A")</f>
        <v>1</v>
      </c>
      <c r="J11" s="62"/>
    </row>
    <row r="12" spans="1:10"/>
  </sheetData>
  <mergeCells count="1">
    <mergeCell ref="A11:B11"/>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0F2D4-D275-4BD0-A894-5EE2CB73EDB9}">
  <sheetPr>
    <tabColor theme="7"/>
  </sheetPr>
  <dimension ref="B2:K32"/>
  <sheetViews>
    <sheetView topLeftCell="A11" zoomScaleNormal="100" workbookViewId="0">
      <selection activeCell="B30" sqref="B30"/>
    </sheetView>
  </sheetViews>
  <sheetFormatPr defaultColWidth="9.140625" defaultRowHeight="14.65"/>
  <cols>
    <col min="1" max="1" width="13.140625" style="1" customWidth="1"/>
    <col min="2" max="2" width="41.140625" style="1" customWidth="1"/>
    <col min="3" max="3" width="23.7109375" style="1" customWidth="1"/>
    <col min="4" max="4" width="18.42578125" style="1" customWidth="1"/>
    <col min="5" max="7" width="16.85546875" style="1" customWidth="1"/>
    <col min="8" max="9" width="11.7109375" style="1" customWidth="1"/>
    <col min="10" max="10" width="14" style="1" customWidth="1"/>
    <col min="11" max="11" width="58.85546875" style="1" bestFit="1" customWidth="1"/>
    <col min="12" max="16384" width="9.140625" style="1"/>
  </cols>
  <sheetData>
    <row r="2" spans="2:3">
      <c r="B2" s="43" t="s">
        <v>38</v>
      </c>
      <c r="C2" s="9">
        <f ca="1">D32</f>
        <v>41</v>
      </c>
    </row>
    <row r="3" spans="2:3">
      <c r="B3" s="9" t="s">
        <v>39</v>
      </c>
      <c r="C3" s="9">
        <f ca="1">E32</f>
        <v>63</v>
      </c>
    </row>
    <row r="4" spans="2:3">
      <c r="B4" s="9" t="s">
        <v>40</v>
      </c>
      <c r="C4" s="10">
        <f ca="1">J32</f>
        <v>11.124334600414926</v>
      </c>
    </row>
    <row r="22" spans="2:11" ht="36.6" customHeight="1">
      <c r="B22" s="2" t="s">
        <v>0</v>
      </c>
      <c r="C22" s="2" t="s">
        <v>1</v>
      </c>
      <c r="D22" s="2" t="s">
        <v>2</v>
      </c>
      <c r="E22" s="2" t="s">
        <v>3</v>
      </c>
      <c r="F22" s="2" t="s">
        <v>4</v>
      </c>
      <c r="G22" s="2" t="s">
        <v>5</v>
      </c>
      <c r="H22" s="2" t="s">
        <v>6</v>
      </c>
      <c r="I22" s="2" t="s">
        <v>7</v>
      </c>
      <c r="J22" s="2" t="s">
        <v>8</v>
      </c>
      <c r="K22" s="28" t="s">
        <v>9</v>
      </c>
    </row>
    <row r="23" spans="2:11" ht="22.5" customHeight="1">
      <c r="B23" s="3" t="s">
        <v>10</v>
      </c>
      <c r="C23" s="39" t="s">
        <v>90</v>
      </c>
      <c r="D23" s="5">
        <f t="shared" ref="D23:D31" ca="1" si="0">RANDBETWEEN(1,10)</f>
        <v>5</v>
      </c>
      <c r="E23" s="5">
        <f t="shared" ref="E23:E31" ca="1" si="1">RANDBETWEEN(5,10)</f>
        <v>8</v>
      </c>
      <c r="F23" s="5">
        <f t="shared" ref="F23:G23" ca="1" si="2">RANDBETWEEN(1,100)</f>
        <v>6</v>
      </c>
      <c r="G23" s="5">
        <f t="shared" ca="1" si="2"/>
        <v>94</v>
      </c>
      <c r="H23" s="35">
        <f t="shared" ref="H23:H31" ca="1" si="3">IFERROR(E23/D23,"N/A")</f>
        <v>1.6</v>
      </c>
      <c r="I23" s="44">
        <f t="shared" ref="I23:I31" ca="1" si="4">IFERROR(F23/E23,"N/A")</f>
        <v>0.75</v>
      </c>
      <c r="J23" s="35">
        <f t="shared" ref="J23:J31" ca="1" si="5">IFERROR(G23/F23,"N/A")</f>
        <v>15.666666666666666</v>
      </c>
      <c r="K23" s="7"/>
    </row>
    <row r="24" spans="2:11" ht="22.5" customHeight="1">
      <c r="B24" s="3" t="s">
        <v>13</v>
      </c>
      <c r="C24" s="39" t="s">
        <v>91</v>
      </c>
      <c r="D24" s="5">
        <f t="shared" ca="1" si="0"/>
        <v>7</v>
      </c>
      <c r="E24" s="5">
        <f t="shared" ca="1" si="1"/>
        <v>6</v>
      </c>
      <c r="F24" s="5">
        <f t="shared" ref="F24:G31" ca="1" si="6">RANDBETWEEN(1,100)</f>
        <v>100</v>
      </c>
      <c r="G24" s="5">
        <f t="shared" ca="1" si="6"/>
        <v>15</v>
      </c>
      <c r="H24" s="35">
        <f t="shared" ca="1" si="3"/>
        <v>0.8571428571428571</v>
      </c>
      <c r="I24" s="44">
        <f t="shared" ca="1" si="4"/>
        <v>16.666666666666668</v>
      </c>
      <c r="J24" s="35">
        <f t="shared" ca="1" si="5"/>
        <v>0.15</v>
      </c>
      <c r="K24" s="7"/>
    </row>
    <row r="25" spans="2:11" ht="22.5" customHeight="1">
      <c r="B25" s="3" t="s">
        <v>16</v>
      </c>
      <c r="C25" s="39" t="s">
        <v>91</v>
      </c>
      <c r="D25" s="5">
        <f t="shared" ca="1" si="0"/>
        <v>2</v>
      </c>
      <c r="E25" s="5">
        <f t="shared" ca="1" si="1"/>
        <v>5</v>
      </c>
      <c r="F25" s="5">
        <f t="shared" ca="1" si="6"/>
        <v>29</v>
      </c>
      <c r="G25" s="5">
        <f t="shared" ca="1" si="6"/>
        <v>49</v>
      </c>
      <c r="H25" s="35">
        <f t="shared" ca="1" si="3"/>
        <v>2.5</v>
      </c>
      <c r="I25" s="44">
        <f t="shared" ca="1" si="4"/>
        <v>5.8</v>
      </c>
      <c r="J25" s="35">
        <f t="shared" ca="1" si="5"/>
        <v>1.6896551724137931</v>
      </c>
      <c r="K25" s="3"/>
    </row>
    <row r="26" spans="2:11" ht="22.5" customHeight="1">
      <c r="B26" s="3" t="s">
        <v>31</v>
      </c>
      <c r="C26" s="39" t="s">
        <v>91</v>
      </c>
      <c r="D26" s="5">
        <f t="shared" ca="1" si="0"/>
        <v>1</v>
      </c>
      <c r="E26" s="5">
        <f t="shared" ca="1" si="1"/>
        <v>8</v>
      </c>
      <c r="F26" s="5">
        <f t="shared" ca="1" si="6"/>
        <v>65</v>
      </c>
      <c r="G26" s="5">
        <f t="shared" ca="1" si="6"/>
        <v>2</v>
      </c>
      <c r="H26" s="35">
        <f t="shared" ca="1" si="3"/>
        <v>8</v>
      </c>
      <c r="I26" s="44">
        <f t="shared" ca="1" si="4"/>
        <v>8.125</v>
      </c>
      <c r="J26" s="35">
        <f t="shared" ca="1" si="5"/>
        <v>3.0769230769230771E-2</v>
      </c>
      <c r="K26" s="3"/>
    </row>
    <row r="27" spans="2:11" ht="22.5" customHeight="1">
      <c r="B27" s="3" t="s">
        <v>18</v>
      </c>
      <c r="C27" s="39" t="s">
        <v>91</v>
      </c>
      <c r="D27" s="5">
        <f t="shared" ca="1" si="0"/>
        <v>4</v>
      </c>
      <c r="E27" s="5">
        <f t="shared" ca="1" si="1"/>
        <v>7</v>
      </c>
      <c r="F27" s="5">
        <f t="shared" ca="1" si="6"/>
        <v>81</v>
      </c>
      <c r="G27" s="5">
        <f t="shared" ca="1" si="6"/>
        <v>24</v>
      </c>
      <c r="H27" s="35">
        <f t="shared" ca="1" si="3"/>
        <v>1.75</v>
      </c>
      <c r="I27" s="44">
        <f t="shared" ca="1" si="4"/>
        <v>11.571428571428571</v>
      </c>
      <c r="J27" s="35">
        <f t="shared" ca="1" si="5"/>
        <v>0.29629629629629628</v>
      </c>
      <c r="K27" s="3"/>
    </row>
    <row r="28" spans="2:11" ht="22.5" customHeight="1">
      <c r="B28" s="3" t="s">
        <v>20</v>
      </c>
      <c r="C28" s="39" t="s">
        <v>90</v>
      </c>
      <c r="D28" s="5">
        <f t="shared" ca="1" si="0"/>
        <v>3</v>
      </c>
      <c r="E28" s="5">
        <f t="shared" ca="1" si="1"/>
        <v>10</v>
      </c>
      <c r="F28" s="5">
        <f t="shared" ca="1" si="6"/>
        <v>43</v>
      </c>
      <c r="G28" s="5">
        <f t="shared" ca="1" si="6"/>
        <v>72</v>
      </c>
      <c r="H28" s="35">
        <f t="shared" ca="1" si="3"/>
        <v>3.3333333333333335</v>
      </c>
      <c r="I28" s="44">
        <f t="shared" ca="1" si="4"/>
        <v>4.3</v>
      </c>
      <c r="J28" s="35">
        <f t="shared" ca="1" si="5"/>
        <v>1.6744186046511629</v>
      </c>
      <c r="K28" s="3"/>
    </row>
    <row r="29" spans="2:11" ht="22.5" customHeight="1">
      <c r="B29" s="24" t="s">
        <v>22</v>
      </c>
      <c r="C29" s="39" t="s">
        <v>90</v>
      </c>
      <c r="D29" s="5">
        <f t="shared" ca="1" si="0"/>
        <v>3</v>
      </c>
      <c r="E29" s="5">
        <f t="shared" ca="1" si="1"/>
        <v>8</v>
      </c>
      <c r="F29" s="5">
        <f t="shared" ca="1" si="6"/>
        <v>93</v>
      </c>
      <c r="G29" s="5">
        <f t="shared" ca="1" si="6"/>
        <v>3</v>
      </c>
      <c r="H29" s="35">
        <f t="shared" ca="1" si="3"/>
        <v>2.6666666666666665</v>
      </c>
      <c r="I29" s="44">
        <f t="shared" ca="1" si="4"/>
        <v>11.625</v>
      </c>
      <c r="J29" s="35">
        <f t="shared" ca="1" si="5"/>
        <v>3.2258064516129031E-2</v>
      </c>
      <c r="K29" s="3"/>
    </row>
    <row r="30" spans="2:11" ht="22.5" customHeight="1">
      <c r="B30" s="42" t="s">
        <v>24</v>
      </c>
      <c r="C30" s="41" t="s">
        <v>90</v>
      </c>
      <c r="D30" s="5">
        <f t="shared" ca="1" si="0"/>
        <v>9</v>
      </c>
      <c r="E30" s="5">
        <f t="shared" ca="1" si="1"/>
        <v>5</v>
      </c>
      <c r="F30" s="5">
        <f t="shared" ca="1" si="6"/>
        <v>1</v>
      </c>
      <c r="G30" s="5">
        <f t="shared" ca="1" si="6"/>
        <v>79</v>
      </c>
      <c r="H30" s="35">
        <f t="shared" ca="1" si="3"/>
        <v>0.55555555555555558</v>
      </c>
      <c r="I30" s="44">
        <f t="shared" ca="1" si="4"/>
        <v>0.2</v>
      </c>
      <c r="J30" s="35">
        <f t="shared" ca="1" si="5"/>
        <v>79</v>
      </c>
      <c r="K30" s="8"/>
    </row>
    <row r="31" spans="2:11" ht="22.5" customHeight="1">
      <c r="B31" s="42" t="s">
        <v>36</v>
      </c>
      <c r="C31" s="41" t="s">
        <v>90</v>
      </c>
      <c r="D31" s="5">
        <f t="shared" ca="1" si="0"/>
        <v>7</v>
      </c>
      <c r="E31" s="5">
        <f t="shared" ca="1" si="1"/>
        <v>6</v>
      </c>
      <c r="F31" s="5">
        <f t="shared" ca="1" si="6"/>
        <v>38</v>
      </c>
      <c r="G31" s="5">
        <f t="shared" ca="1" si="6"/>
        <v>60</v>
      </c>
      <c r="H31" s="35">
        <f t="shared" ca="1" si="3"/>
        <v>0.8571428571428571</v>
      </c>
      <c r="I31" s="44">
        <f t="shared" ca="1" si="4"/>
        <v>6.333333333333333</v>
      </c>
      <c r="J31" s="35">
        <f t="shared" ca="1" si="5"/>
        <v>1.5789473684210527</v>
      </c>
      <c r="K31" s="8"/>
    </row>
    <row r="32" spans="2:11" ht="25.5" customHeight="1">
      <c r="B32" s="116" t="s">
        <v>26</v>
      </c>
      <c r="C32" s="117"/>
      <c r="D32" s="36">
        <f ca="1">SUM(D23:D31)</f>
        <v>41</v>
      </c>
      <c r="E32" s="36">
        <f ca="1">SUM(E23:E31)</f>
        <v>63</v>
      </c>
      <c r="F32" s="36">
        <f t="shared" ref="F32:G32" ca="1" si="7">SUM(F23:F31)</f>
        <v>456</v>
      </c>
      <c r="G32" s="36">
        <f t="shared" ca="1" si="7"/>
        <v>398</v>
      </c>
      <c r="H32" s="37">
        <f ca="1">IFERROR(AVERAGE(H23:H31),"N/A")</f>
        <v>2.4577601410934751</v>
      </c>
      <c r="I32" s="37">
        <f ca="1">IFERROR(AVERAGE(I23:I31),"N/A")</f>
        <v>7.2634920634920626</v>
      </c>
      <c r="J32" s="40">
        <f ca="1">IFERROR(AVERAGE(J23:J31),"N/A")</f>
        <v>11.124334600414926</v>
      </c>
      <c r="K32" s="38"/>
    </row>
  </sheetData>
  <mergeCells count="1">
    <mergeCell ref="B32:C32"/>
  </mergeCells>
  <pageMargins left="0.7" right="0.7" top="0.75" bottom="0.75" header="0.3" footer="0.3"/>
  <pageSetup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50845-58C7-42B7-B4EA-A8AC239546F8}">
  <sheetPr>
    <tabColor theme="7"/>
  </sheetPr>
  <dimension ref="A1:J11"/>
  <sheetViews>
    <sheetView zoomScaleNormal="100" workbookViewId="0">
      <selection activeCell="A6" sqref="A6"/>
    </sheetView>
  </sheetViews>
  <sheetFormatPr defaultColWidth="9.140625" defaultRowHeight="14.25" customHeight="1"/>
  <cols>
    <col min="1" max="1" width="32" style="45" customWidth="1"/>
    <col min="2" max="2" width="32.140625" style="45" customWidth="1"/>
    <col min="3" max="3" width="18.42578125" style="45" customWidth="1"/>
    <col min="4" max="5" width="16.85546875" style="45" customWidth="1"/>
    <col min="6" max="6" width="15.85546875" style="45" customWidth="1"/>
    <col min="7" max="8" width="11.7109375" style="45" customWidth="1"/>
    <col min="9" max="9" width="14" style="45" customWidth="1"/>
    <col min="10" max="10" width="58.85546875" style="45" bestFit="1" customWidth="1"/>
    <col min="11" max="16384" width="9.140625" style="45"/>
  </cols>
  <sheetData>
    <row r="1" spans="1:10" ht="53.25">
      <c r="A1" s="63" t="s">
        <v>0</v>
      </c>
      <c r="B1" s="63" t="s">
        <v>1</v>
      </c>
      <c r="C1" s="63" t="s">
        <v>2</v>
      </c>
      <c r="D1" s="63" t="s">
        <v>3</v>
      </c>
      <c r="E1" s="63" t="s">
        <v>4</v>
      </c>
      <c r="F1" s="63" t="s">
        <v>5</v>
      </c>
      <c r="G1" s="63" t="s">
        <v>6</v>
      </c>
      <c r="H1" s="63" t="s">
        <v>7</v>
      </c>
      <c r="I1" s="63" t="s">
        <v>8</v>
      </c>
      <c r="J1" s="63" t="s">
        <v>9</v>
      </c>
    </row>
    <row r="2" spans="1:10" ht="48" customHeight="1">
      <c r="A2" s="64" t="s">
        <v>10</v>
      </c>
      <c r="B2" s="65" t="s">
        <v>92</v>
      </c>
      <c r="C2" s="66">
        <v>16</v>
      </c>
      <c r="D2" s="66">
        <v>14</v>
      </c>
      <c r="E2" s="66">
        <v>1</v>
      </c>
      <c r="F2" s="66">
        <v>1</v>
      </c>
      <c r="G2" s="67">
        <f t="shared" ref="G2:G10" si="0">IFERROR(D2/C2,"N/A")</f>
        <v>0.875</v>
      </c>
      <c r="H2" s="68">
        <f t="shared" ref="H2:H10" si="1">IFERROR(E2/D2,"N/A")</f>
        <v>7.1428571428571425E-2</v>
      </c>
      <c r="I2" s="67">
        <f t="shared" ref="I2:I10" si="2">IFERROR(F2/E2,"N/A")</f>
        <v>1</v>
      </c>
      <c r="J2" s="69" t="s">
        <v>93</v>
      </c>
    </row>
    <row r="3" spans="1:10" ht="48" customHeight="1">
      <c r="A3" s="64" t="s">
        <v>13</v>
      </c>
      <c r="B3" s="65" t="s">
        <v>94</v>
      </c>
      <c r="C3" s="66">
        <v>19</v>
      </c>
      <c r="D3" s="66">
        <v>19</v>
      </c>
      <c r="E3" s="66">
        <v>0</v>
      </c>
      <c r="F3" s="66">
        <v>0</v>
      </c>
      <c r="G3" s="67">
        <f t="shared" si="0"/>
        <v>1</v>
      </c>
      <c r="H3" s="68">
        <f t="shared" si="1"/>
        <v>0</v>
      </c>
      <c r="I3" s="67" t="str">
        <f t="shared" si="2"/>
        <v>N/A</v>
      </c>
      <c r="J3" s="69" t="s">
        <v>95</v>
      </c>
    </row>
    <row r="4" spans="1:10" ht="48" customHeight="1">
      <c r="A4" s="64" t="s">
        <v>16</v>
      </c>
      <c r="B4" s="65" t="s">
        <v>94</v>
      </c>
      <c r="C4" s="66">
        <v>45</v>
      </c>
      <c r="D4" s="66">
        <v>36</v>
      </c>
      <c r="E4" s="66">
        <v>0</v>
      </c>
      <c r="F4" s="66">
        <v>0</v>
      </c>
      <c r="G4" s="67">
        <f t="shared" si="0"/>
        <v>0.8</v>
      </c>
      <c r="H4" s="68">
        <f t="shared" si="1"/>
        <v>0</v>
      </c>
      <c r="I4" s="67" t="str">
        <f t="shared" si="2"/>
        <v>N/A</v>
      </c>
      <c r="J4" s="64" t="s">
        <v>96</v>
      </c>
    </row>
    <row r="5" spans="1:10" ht="48" customHeight="1">
      <c r="A5" s="64" t="s">
        <v>31</v>
      </c>
      <c r="B5" s="65" t="s">
        <v>94</v>
      </c>
      <c r="C5" s="66">
        <v>1</v>
      </c>
      <c r="D5" s="66">
        <v>1</v>
      </c>
      <c r="E5" s="66">
        <v>0</v>
      </c>
      <c r="F5" s="66">
        <v>0</v>
      </c>
      <c r="G5" s="67">
        <f t="shared" si="0"/>
        <v>1</v>
      </c>
      <c r="H5" s="68">
        <f t="shared" si="1"/>
        <v>0</v>
      </c>
      <c r="I5" s="67" t="str">
        <f t="shared" si="2"/>
        <v>N/A</v>
      </c>
      <c r="J5" s="69" t="s">
        <v>83</v>
      </c>
    </row>
    <row r="6" spans="1:10" ht="48" customHeight="1">
      <c r="A6" s="64" t="s">
        <v>18</v>
      </c>
      <c r="B6" s="65" t="s">
        <v>94</v>
      </c>
      <c r="C6" s="66">
        <v>27</v>
      </c>
      <c r="D6" s="66">
        <v>27</v>
      </c>
      <c r="E6" s="66">
        <v>0</v>
      </c>
      <c r="F6" s="66">
        <v>0</v>
      </c>
      <c r="G6" s="67">
        <f t="shared" si="0"/>
        <v>1</v>
      </c>
      <c r="H6" s="68">
        <f t="shared" si="1"/>
        <v>0</v>
      </c>
      <c r="I6" s="70" t="str">
        <f t="shared" si="2"/>
        <v>N/A</v>
      </c>
      <c r="J6" s="69" t="s">
        <v>97</v>
      </c>
    </row>
    <row r="7" spans="1:10" ht="48" customHeight="1">
      <c r="A7" s="64" t="s">
        <v>20</v>
      </c>
      <c r="B7" s="65" t="s">
        <v>92</v>
      </c>
      <c r="C7" s="66">
        <v>38</v>
      </c>
      <c r="D7" s="66">
        <v>34</v>
      </c>
      <c r="E7" s="66">
        <v>1</v>
      </c>
      <c r="F7" s="66">
        <v>1</v>
      </c>
      <c r="G7" s="67">
        <f t="shared" si="0"/>
        <v>0.89473684210526316</v>
      </c>
      <c r="H7" s="68">
        <f t="shared" si="1"/>
        <v>2.9411764705882353E-2</v>
      </c>
      <c r="I7" s="70">
        <f t="shared" si="2"/>
        <v>1</v>
      </c>
      <c r="J7" s="71" t="s">
        <v>98</v>
      </c>
    </row>
    <row r="8" spans="1:10" ht="48" customHeight="1">
      <c r="A8" s="72" t="s">
        <v>22</v>
      </c>
      <c r="B8" s="65" t="s">
        <v>92</v>
      </c>
      <c r="C8" s="66">
        <v>23</v>
      </c>
      <c r="D8" s="66">
        <v>22</v>
      </c>
      <c r="E8" s="66">
        <v>1</v>
      </c>
      <c r="F8" s="66">
        <v>1</v>
      </c>
      <c r="G8" s="67">
        <f t="shared" si="0"/>
        <v>0.95652173913043481</v>
      </c>
      <c r="H8" s="68">
        <f t="shared" si="1"/>
        <v>4.5454545454545456E-2</v>
      </c>
      <c r="I8" s="70">
        <f t="shared" si="2"/>
        <v>1</v>
      </c>
      <c r="J8" s="71" t="s">
        <v>99</v>
      </c>
    </row>
    <row r="9" spans="1:10" ht="48" customHeight="1">
      <c r="A9" s="71" t="s">
        <v>24</v>
      </c>
      <c r="B9" s="65" t="s">
        <v>92</v>
      </c>
      <c r="C9" s="66">
        <v>7</v>
      </c>
      <c r="D9" s="66">
        <v>7</v>
      </c>
      <c r="E9" s="66">
        <v>4</v>
      </c>
      <c r="F9" s="66">
        <v>4</v>
      </c>
      <c r="G9" s="67">
        <f t="shared" si="0"/>
        <v>1</v>
      </c>
      <c r="H9" s="68">
        <f t="shared" si="1"/>
        <v>0.5714285714285714</v>
      </c>
      <c r="I9" s="70">
        <f t="shared" si="2"/>
        <v>1</v>
      </c>
      <c r="J9" s="73" t="s">
        <v>100</v>
      </c>
    </row>
    <row r="10" spans="1:10" ht="88.5">
      <c r="A10" s="71" t="s">
        <v>36</v>
      </c>
      <c r="B10" s="65" t="s">
        <v>101</v>
      </c>
      <c r="C10" s="66">
        <v>215</v>
      </c>
      <c r="D10" s="66">
        <v>241</v>
      </c>
      <c r="E10" s="66">
        <v>0</v>
      </c>
      <c r="F10" s="66">
        <v>0</v>
      </c>
      <c r="G10" s="67">
        <f t="shared" si="0"/>
        <v>1.1209302325581396</v>
      </c>
      <c r="H10" s="68">
        <f t="shared" si="1"/>
        <v>0</v>
      </c>
      <c r="I10" s="70" t="str">
        <f t="shared" si="2"/>
        <v>N/A</v>
      </c>
      <c r="J10" s="74" t="s">
        <v>102</v>
      </c>
    </row>
    <row r="11" spans="1:10" ht="15.75">
      <c r="A11" s="118" t="s">
        <v>26</v>
      </c>
      <c r="B11" s="119"/>
      <c r="C11" s="75">
        <f>SUM(C2:C10)</f>
        <v>391</v>
      </c>
      <c r="D11" s="75">
        <f>SUM(D2:D10)</f>
        <v>401</v>
      </c>
      <c r="E11" s="75">
        <f>SUM(E2:E10)</f>
        <v>7</v>
      </c>
      <c r="F11" s="75">
        <f>SUM(F2:F10)</f>
        <v>7</v>
      </c>
      <c r="G11" s="76">
        <f>IFERROR(AVERAGE(G2:G10),"N/A")</f>
        <v>0.96079875708820417</v>
      </c>
      <c r="H11" s="77">
        <f>IFERROR(AVERAGE(H2:H10),"N/A")</f>
        <v>7.9747050335285632E-2</v>
      </c>
      <c r="I11" s="76">
        <f>IFERROR(AVERAGE(I2:I10),"N/A")</f>
        <v>1</v>
      </c>
      <c r="J11" s="78"/>
    </row>
  </sheetData>
  <mergeCells count="1">
    <mergeCell ref="A11:B11"/>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0C548-D240-44CF-B415-9F14BFAA4C58}">
  <sheetPr>
    <tabColor theme="7"/>
  </sheetPr>
  <dimension ref="A1:J11"/>
  <sheetViews>
    <sheetView zoomScaleNormal="100" workbookViewId="0">
      <selection activeCell="A5" sqref="A5"/>
    </sheetView>
  </sheetViews>
  <sheetFormatPr defaultColWidth="9.140625" defaultRowHeight="14.25" customHeight="1"/>
  <cols>
    <col min="1" max="1" width="50.7109375" style="45" customWidth="1"/>
    <col min="2" max="2" width="32.140625" style="45" customWidth="1"/>
    <col min="3" max="3" width="18.42578125" style="45" customWidth="1"/>
    <col min="4" max="5" width="16.85546875" style="45" customWidth="1"/>
    <col min="6" max="6" width="15.85546875" style="45" customWidth="1"/>
    <col min="7" max="8" width="11.7109375" style="45" customWidth="1"/>
    <col min="9" max="9" width="14" style="45" customWidth="1"/>
    <col min="10" max="10" width="58.85546875" style="45" bestFit="1" customWidth="1"/>
    <col min="11" max="16384" width="9.140625" style="45"/>
  </cols>
  <sheetData>
    <row r="1" spans="1:10" ht="53.25">
      <c r="A1" s="63" t="s">
        <v>0</v>
      </c>
      <c r="B1" s="63" t="s">
        <v>1</v>
      </c>
      <c r="C1" s="63" t="s">
        <v>2</v>
      </c>
      <c r="D1" s="63" t="s">
        <v>3</v>
      </c>
      <c r="E1" s="63" t="s">
        <v>4</v>
      </c>
      <c r="F1" s="63" t="s">
        <v>5</v>
      </c>
      <c r="G1" s="63" t="s">
        <v>6</v>
      </c>
      <c r="H1" s="63" t="s">
        <v>7</v>
      </c>
      <c r="I1" s="63" t="s">
        <v>8</v>
      </c>
      <c r="J1" s="63" t="s">
        <v>9</v>
      </c>
    </row>
    <row r="2" spans="1:10" ht="38.25" customHeight="1">
      <c r="A2" s="64" t="s">
        <v>10</v>
      </c>
      <c r="B2" s="65" t="s">
        <v>103</v>
      </c>
      <c r="C2" s="66">
        <v>26</v>
      </c>
      <c r="D2" s="66">
        <v>26</v>
      </c>
      <c r="E2" s="66">
        <v>0</v>
      </c>
      <c r="F2" s="66">
        <v>0</v>
      </c>
      <c r="G2" s="67">
        <f>IFERROR(D2/C2,"N/A")</f>
        <v>1</v>
      </c>
      <c r="H2" s="68">
        <f t="shared" ref="G2:I10" si="0">IFERROR(E2/D2,"N/A")</f>
        <v>0</v>
      </c>
      <c r="I2" s="67" t="str">
        <f t="shared" si="0"/>
        <v>N/A</v>
      </c>
      <c r="J2" s="69" t="s">
        <v>104</v>
      </c>
    </row>
    <row r="3" spans="1:10" ht="38.25" customHeight="1">
      <c r="A3" s="64" t="s">
        <v>13</v>
      </c>
      <c r="B3" s="65" t="s">
        <v>105</v>
      </c>
      <c r="C3" s="66">
        <v>22</v>
      </c>
      <c r="D3" s="66">
        <v>22</v>
      </c>
      <c r="E3" s="66">
        <v>0</v>
      </c>
      <c r="F3" s="66">
        <v>0</v>
      </c>
      <c r="G3" s="67">
        <f t="shared" si="0"/>
        <v>1</v>
      </c>
      <c r="H3" s="68">
        <f t="shared" si="0"/>
        <v>0</v>
      </c>
      <c r="I3" s="67" t="str">
        <f t="shared" si="0"/>
        <v>N/A</v>
      </c>
      <c r="J3" s="69" t="s">
        <v>106</v>
      </c>
    </row>
    <row r="4" spans="1:10" ht="38.25" customHeight="1">
      <c r="A4" s="64" t="s">
        <v>16</v>
      </c>
      <c r="B4" s="65" t="s">
        <v>105</v>
      </c>
      <c r="C4" s="66">
        <v>132</v>
      </c>
      <c r="D4" s="66">
        <v>132</v>
      </c>
      <c r="E4" s="66">
        <v>1</v>
      </c>
      <c r="F4" s="66">
        <v>1</v>
      </c>
      <c r="G4" s="67">
        <f t="shared" si="0"/>
        <v>1</v>
      </c>
      <c r="H4" s="68">
        <f t="shared" si="0"/>
        <v>7.575757575757576E-3</v>
      </c>
      <c r="I4" s="67">
        <f t="shared" si="0"/>
        <v>1</v>
      </c>
      <c r="J4" s="64" t="s">
        <v>107</v>
      </c>
    </row>
    <row r="5" spans="1:10" ht="38.25" customHeight="1">
      <c r="A5" s="64" t="s">
        <v>31</v>
      </c>
      <c r="B5" s="65" t="s">
        <v>105</v>
      </c>
      <c r="C5" s="66">
        <v>1</v>
      </c>
      <c r="D5" s="66">
        <v>1</v>
      </c>
      <c r="E5" s="66">
        <v>0</v>
      </c>
      <c r="F5" s="66">
        <v>0</v>
      </c>
      <c r="G5" s="67">
        <f t="shared" si="0"/>
        <v>1</v>
      </c>
      <c r="H5" s="68">
        <f t="shared" si="0"/>
        <v>0</v>
      </c>
      <c r="I5" s="67" t="str">
        <f t="shared" si="0"/>
        <v>N/A</v>
      </c>
      <c r="J5" s="69" t="s">
        <v>108</v>
      </c>
    </row>
    <row r="6" spans="1:10" ht="38.25" customHeight="1">
      <c r="A6" s="64" t="s">
        <v>18</v>
      </c>
      <c r="B6" s="65" t="s">
        <v>105</v>
      </c>
      <c r="C6" s="66">
        <v>52</v>
      </c>
      <c r="D6" s="66">
        <v>42</v>
      </c>
      <c r="E6" s="66">
        <v>0</v>
      </c>
      <c r="F6" s="66">
        <v>0</v>
      </c>
      <c r="G6" s="67">
        <f t="shared" si="0"/>
        <v>0.80769230769230771</v>
      </c>
      <c r="H6" s="68">
        <f t="shared" si="0"/>
        <v>0</v>
      </c>
      <c r="I6" s="70" t="str">
        <f t="shared" si="0"/>
        <v>N/A</v>
      </c>
      <c r="J6" s="69" t="s">
        <v>109</v>
      </c>
    </row>
    <row r="7" spans="1:10" ht="70.5">
      <c r="A7" s="64" t="s">
        <v>20</v>
      </c>
      <c r="B7" s="65" t="s">
        <v>103</v>
      </c>
      <c r="C7" s="66">
        <v>8</v>
      </c>
      <c r="D7" s="66">
        <v>8</v>
      </c>
      <c r="E7" s="66">
        <v>1</v>
      </c>
      <c r="F7" s="66">
        <v>1</v>
      </c>
      <c r="G7" s="67">
        <f t="shared" si="0"/>
        <v>1</v>
      </c>
      <c r="H7" s="68">
        <f t="shared" si="0"/>
        <v>0.125</v>
      </c>
      <c r="I7" s="70">
        <f t="shared" si="0"/>
        <v>1</v>
      </c>
      <c r="J7" s="71" t="s">
        <v>110</v>
      </c>
    </row>
    <row r="8" spans="1:10" ht="38.25" customHeight="1">
      <c r="A8" s="72" t="s">
        <v>22</v>
      </c>
      <c r="B8" s="65" t="s">
        <v>103</v>
      </c>
      <c r="C8" s="66">
        <v>37</v>
      </c>
      <c r="D8" s="66">
        <v>36</v>
      </c>
      <c r="E8" s="66">
        <v>4</v>
      </c>
      <c r="F8" s="66">
        <v>4</v>
      </c>
      <c r="G8" s="67">
        <f t="shared" si="0"/>
        <v>0.97297297297297303</v>
      </c>
      <c r="H8" s="68">
        <f t="shared" si="0"/>
        <v>0.1111111111111111</v>
      </c>
      <c r="I8" s="70">
        <f t="shared" si="0"/>
        <v>1</v>
      </c>
      <c r="J8" s="71" t="s">
        <v>111</v>
      </c>
    </row>
    <row r="9" spans="1:10" ht="38.25" customHeight="1">
      <c r="A9" s="71" t="s">
        <v>24</v>
      </c>
      <c r="B9" s="65" t="s">
        <v>103</v>
      </c>
      <c r="C9" s="66">
        <v>0</v>
      </c>
      <c r="D9" s="66">
        <v>0</v>
      </c>
      <c r="E9" s="66">
        <v>0</v>
      </c>
      <c r="F9" s="66">
        <v>0</v>
      </c>
      <c r="G9" s="67" t="str">
        <f t="shared" si="0"/>
        <v>N/A</v>
      </c>
      <c r="H9" s="68" t="str">
        <f t="shared" si="0"/>
        <v>N/A</v>
      </c>
      <c r="I9" s="70" t="str">
        <f t="shared" si="0"/>
        <v>N/A</v>
      </c>
      <c r="J9" s="73" t="s">
        <v>112</v>
      </c>
    </row>
    <row r="10" spans="1:10" ht="114" customHeight="1">
      <c r="A10" s="71" t="s">
        <v>113</v>
      </c>
      <c r="B10" s="65" t="s">
        <v>114</v>
      </c>
      <c r="C10" s="66">
        <v>238</v>
      </c>
      <c r="D10" s="66">
        <v>256</v>
      </c>
      <c r="E10" s="66">
        <v>0</v>
      </c>
      <c r="F10" s="66">
        <v>0</v>
      </c>
      <c r="G10" s="67">
        <f t="shared" si="0"/>
        <v>1.0756302521008403</v>
      </c>
      <c r="H10" s="68">
        <f t="shared" si="0"/>
        <v>0</v>
      </c>
      <c r="I10" s="70" t="str">
        <f t="shared" si="0"/>
        <v>N/A</v>
      </c>
      <c r="J10" s="74" t="s">
        <v>115</v>
      </c>
    </row>
    <row r="11" spans="1:10" ht="15.75">
      <c r="A11" s="118" t="s">
        <v>26</v>
      </c>
      <c r="B11" s="119"/>
      <c r="C11" s="75">
        <f>SUM(C2:C10)</f>
        <v>516</v>
      </c>
      <c r="D11" s="75">
        <f>SUM(D2:D10)</f>
        <v>523</v>
      </c>
      <c r="E11" s="75">
        <f>SUM(E2:E10)</f>
        <v>6</v>
      </c>
      <c r="F11" s="75">
        <f>SUM(F2:F10)</f>
        <v>6</v>
      </c>
      <c r="G11" s="76">
        <f>IFERROR(AVERAGE(G2:G10),"N/A")</f>
        <v>0.98203694159576504</v>
      </c>
      <c r="H11" s="77">
        <f>IFERROR(AVERAGE(H2:H10),"N/A")</f>
        <v>3.0460858585858584E-2</v>
      </c>
      <c r="I11" s="76">
        <f>IFERROR(AVERAGE(I2:I10),"N/A")</f>
        <v>1</v>
      </c>
      <c r="J11" s="78"/>
    </row>
  </sheetData>
  <mergeCells count="1">
    <mergeCell ref="A11:B11"/>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B628B-C40F-4CB9-9BD8-C0BB1506AAC5}">
  <sheetPr>
    <tabColor theme="7"/>
  </sheetPr>
  <dimension ref="A1:J17"/>
  <sheetViews>
    <sheetView zoomScale="85" zoomScaleNormal="85" workbookViewId="0">
      <selection activeCell="A4" sqref="A4"/>
    </sheetView>
  </sheetViews>
  <sheetFormatPr defaultColWidth="9.140625" defaultRowHeight="14.25" customHeight="1"/>
  <cols>
    <col min="1" max="1" width="50.7109375" style="45" customWidth="1"/>
    <col min="2" max="2" width="26.7109375" style="45" customWidth="1"/>
    <col min="3" max="3" width="18.42578125" style="45" customWidth="1"/>
    <col min="4" max="5" width="16.85546875" style="45" customWidth="1"/>
    <col min="6" max="6" width="15.85546875" style="45" customWidth="1"/>
    <col min="7" max="8" width="11.7109375" style="45" customWidth="1"/>
    <col min="9" max="9" width="14" style="45" customWidth="1"/>
    <col min="10" max="10" width="58.85546875" style="45" bestFit="1" customWidth="1"/>
    <col min="11" max="11" width="11.140625" style="45" bestFit="1" customWidth="1"/>
    <col min="12" max="16384" width="9.140625" style="45"/>
  </cols>
  <sheetData>
    <row r="1" spans="1:10" ht="53.25">
      <c r="A1" s="63" t="s">
        <v>0</v>
      </c>
      <c r="B1" s="63" t="s">
        <v>1</v>
      </c>
      <c r="C1" s="63" t="s">
        <v>2</v>
      </c>
      <c r="D1" s="63" t="s">
        <v>3</v>
      </c>
      <c r="E1" s="63" t="s">
        <v>4</v>
      </c>
      <c r="F1" s="63" t="s">
        <v>5</v>
      </c>
      <c r="G1" s="63" t="s">
        <v>6</v>
      </c>
      <c r="H1" s="63" t="s">
        <v>7</v>
      </c>
      <c r="I1" s="63" t="s">
        <v>8</v>
      </c>
      <c r="J1" s="63" t="s">
        <v>9</v>
      </c>
    </row>
    <row r="2" spans="1:10" ht="38.25" customHeight="1">
      <c r="A2" s="64" t="s">
        <v>10</v>
      </c>
      <c r="B2" s="65" t="s">
        <v>116</v>
      </c>
      <c r="C2" s="66">
        <v>10</v>
      </c>
      <c r="D2" s="66">
        <v>10</v>
      </c>
      <c r="E2" s="66">
        <v>0</v>
      </c>
      <c r="F2" s="66">
        <v>0</v>
      </c>
      <c r="G2" s="67">
        <f>IFERROR(D2/C2,"N/A")</f>
        <v>1</v>
      </c>
      <c r="H2" s="68">
        <f t="shared" ref="G2:I10" si="0">IFERROR(E2/D2,"N/A")</f>
        <v>0</v>
      </c>
      <c r="I2" s="67" t="str">
        <f t="shared" si="0"/>
        <v>N/A</v>
      </c>
      <c r="J2" s="69" t="s">
        <v>117</v>
      </c>
    </row>
    <row r="3" spans="1:10" ht="38.25" customHeight="1">
      <c r="A3" s="64" t="s">
        <v>13</v>
      </c>
      <c r="B3" s="65" t="s">
        <v>118</v>
      </c>
      <c r="C3" s="66">
        <v>19</v>
      </c>
      <c r="D3" s="66">
        <v>17</v>
      </c>
      <c r="E3" s="66">
        <v>0</v>
      </c>
      <c r="F3" s="66">
        <v>0</v>
      </c>
      <c r="G3" s="67">
        <f t="shared" si="0"/>
        <v>0.89473684210526316</v>
      </c>
      <c r="H3" s="68">
        <f t="shared" si="0"/>
        <v>0</v>
      </c>
      <c r="I3" s="67" t="str">
        <f t="shared" si="0"/>
        <v>N/A</v>
      </c>
      <c r="J3" s="69" t="s">
        <v>119</v>
      </c>
    </row>
    <row r="4" spans="1:10" ht="38.25" customHeight="1">
      <c r="A4" s="64" t="s">
        <v>16</v>
      </c>
      <c r="B4" s="65" t="s">
        <v>118</v>
      </c>
      <c r="C4" s="66">
        <v>132</v>
      </c>
      <c r="D4" s="66">
        <v>128</v>
      </c>
      <c r="E4" s="66">
        <v>1</v>
      </c>
      <c r="F4" s="66">
        <v>1</v>
      </c>
      <c r="G4" s="67">
        <f t="shared" si="0"/>
        <v>0.96969696969696972</v>
      </c>
      <c r="H4" s="68">
        <f t="shared" si="0"/>
        <v>7.8125E-3</v>
      </c>
      <c r="I4" s="67">
        <f t="shared" si="0"/>
        <v>1</v>
      </c>
      <c r="J4" s="64" t="s">
        <v>120</v>
      </c>
    </row>
    <row r="5" spans="1:10" ht="38.25" customHeight="1">
      <c r="A5" s="64" t="s">
        <v>31</v>
      </c>
      <c r="B5" s="65" t="s">
        <v>118</v>
      </c>
      <c r="C5" s="66">
        <v>1</v>
      </c>
      <c r="D5" s="66">
        <v>1</v>
      </c>
      <c r="E5" s="66">
        <v>0</v>
      </c>
      <c r="F5" s="66">
        <v>0</v>
      </c>
      <c r="G5" s="67">
        <f t="shared" si="0"/>
        <v>1</v>
      </c>
      <c r="H5" s="68">
        <f t="shared" si="0"/>
        <v>0</v>
      </c>
      <c r="I5" s="67" t="str">
        <f t="shared" si="0"/>
        <v>N/A</v>
      </c>
      <c r="J5" s="69" t="s">
        <v>121</v>
      </c>
    </row>
    <row r="6" spans="1:10" ht="38.25" customHeight="1">
      <c r="A6" s="64" t="s">
        <v>18</v>
      </c>
      <c r="B6" s="65" t="s">
        <v>118</v>
      </c>
      <c r="C6" s="66">
        <v>12</v>
      </c>
      <c r="D6" s="66">
        <v>8</v>
      </c>
      <c r="E6" s="66">
        <v>0</v>
      </c>
      <c r="F6" s="66">
        <v>0</v>
      </c>
      <c r="G6" s="67">
        <f t="shared" si="0"/>
        <v>0.66666666666666663</v>
      </c>
      <c r="H6" s="68">
        <f t="shared" si="0"/>
        <v>0</v>
      </c>
      <c r="I6" s="70" t="str">
        <f t="shared" si="0"/>
        <v>N/A</v>
      </c>
      <c r="J6" s="69" t="s">
        <v>122</v>
      </c>
    </row>
    <row r="7" spans="1:10" ht="48.75" customHeight="1">
      <c r="A7" s="64" t="s">
        <v>20</v>
      </c>
      <c r="B7" s="65" t="s">
        <v>116</v>
      </c>
      <c r="C7" s="66">
        <v>35</v>
      </c>
      <c r="D7" s="66">
        <v>35</v>
      </c>
      <c r="E7" s="66">
        <v>0</v>
      </c>
      <c r="F7" s="66">
        <v>0</v>
      </c>
      <c r="G7" s="67">
        <f t="shared" si="0"/>
        <v>1</v>
      </c>
      <c r="H7" s="68">
        <f t="shared" si="0"/>
        <v>0</v>
      </c>
      <c r="I7" s="70" t="str">
        <f t="shared" si="0"/>
        <v>N/A</v>
      </c>
      <c r="J7" s="69" t="s">
        <v>123</v>
      </c>
    </row>
    <row r="8" spans="1:10" ht="52.5" customHeight="1">
      <c r="A8" s="72" t="s">
        <v>22</v>
      </c>
      <c r="B8" s="65" t="s">
        <v>116</v>
      </c>
      <c r="C8" s="66">
        <v>15</v>
      </c>
      <c r="D8" s="66">
        <v>12</v>
      </c>
      <c r="E8" s="66">
        <v>1</v>
      </c>
      <c r="F8" s="66">
        <v>1</v>
      </c>
      <c r="G8" s="67">
        <f t="shared" si="0"/>
        <v>0.8</v>
      </c>
      <c r="H8" s="68">
        <f t="shared" si="0"/>
        <v>8.3333333333333329E-2</v>
      </c>
      <c r="I8" s="70">
        <f t="shared" si="0"/>
        <v>1</v>
      </c>
      <c r="J8" s="71" t="s">
        <v>124</v>
      </c>
    </row>
    <row r="9" spans="1:10" ht="91.5" customHeight="1">
      <c r="A9" s="71" t="s">
        <v>24</v>
      </c>
      <c r="B9" s="65" t="s">
        <v>116</v>
      </c>
      <c r="C9" s="66">
        <v>0</v>
      </c>
      <c r="D9" s="66">
        <v>0</v>
      </c>
      <c r="E9" s="66">
        <v>0</v>
      </c>
      <c r="F9" s="66">
        <v>0</v>
      </c>
      <c r="G9" s="67" t="str">
        <f t="shared" si="0"/>
        <v>N/A</v>
      </c>
      <c r="H9" s="68" t="str">
        <f t="shared" si="0"/>
        <v>N/A</v>
      </c>
      <c r="I9" s="70" t="str">
        <f t="shared" si="0"/>
        <v>N/A</v>
      </c>
      <c r="J9" s="73" t="s">
        <v>125</v>
      </c>
    </row>
    <row r="10" spans="1:10" ht="96" customHeight="1">
      <c r="A10" s="71" t="s">
        <v>113</v>
      </c>
      <c r="B10" s="65" t="s">
        <v>126</v>
      </c>
      <c r="C10" s="66">
        <v>255</v>
      </c>
      <c r="D10" s="66">
        <v>297</v>
      </c>
      <c r="E10" s="66">
        <v>0</v>
      </c>
      <c r="F10" s="66">
        <v>0</v>
      </c>
      <c r="G10" s="67">
        <f t="shared" si="0"/>
        <v>1.1647058823529413</v>
      </c>
      <c r="H10" s="68">
        <f t="shared" si="0"/>
        <v>0</v>
      </c>
      <c r="I10" s="70" t="str">
        <f t="shared" si="0"/>
        <v>N/A</v>
      </c>
      <c r="J10" s="74" t="s">
        <v>127</v>
      </c>
    </row>
    <row r="11" spans="1:10" ht="30.75" customHeight="1">
      <c r="A11" s="118" t="s">
        <v>26</v>
      </c>
      <c r="B11" s="119"/>
      <c r="C11" s="75">
        <f>SUM(C2:C10)</f>
        <v>479</v>
      </c>
      <c r="D11" s="75">
        <f>SUM(D2:D10)</f>
        <v>508</v>
      </c>
      <c r="E11" s="75">
        <f>SUM(E2:E10)</f>
        <v>2</v>
      </c>
      <c r="F11" s="75">
        <f>SUM(F2:F10)</f>
        <v>2</v>
      </c>
      <c r="G11" s="76">
        <f>IFERROR(AVERAGE(G2:G10),"N/A")</f>
        <v>0.9369757951027301</v>
      </c>
      <c r="H11" s="77">
        <f>IFERROR(AVERAGE(H2:H10),"N/A")</f>
        <v>1.1393229166666666E-2</v>
      </c>
      <c r="I11" s="76">
        <f>IFERROR(AVERAGE(I2:I10),"N/A")</f>
        <v>1</v>
      </c>
      <c r="J11" s="78"/>
    </row>
    <row r="12" spans="1:10"/>
    <row r="13" spans="1:10"/>
    <row r="15" spans="1:10"/>
    <row r="16" spans="1:10"/>
    <row r="17"/>
  </sheetData>
  <mergeCells count="1">
    <mergeCell ref="A11:B11"/>
  </mergeCell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CAB4F-B00C-48AD-8BE4-747F53F88BC5}">
  <sheetPr>
    <tabColor theme="7"/>
  </sheetPr>
  <dimension ref="A1:J10"/>
  <sheetViews>
    <sheetView topLeftCell="A8" zoomScale="85" zoomScaleNormal="85" workbookViewId="0">
      <selection activeCell="F7" sqref="F7"/>
    </sheetView>
  </sheetViews>
  <sheetFormatPr defaultColWidth="9.140625" defaultRowHeight="14.25"/>
  <cols>
    <col min="1" max="1" width="50.7109375" style="97" customWidth="1"/>
    <col min="2" max="2" width="26.7109375" style="97" customWidth="1"/>
    <col min="3" max="3" width="18.42578125" style="97" customWidth="1"/>
    <col min="4" max="5" width="16.85546875" style="97" customWidth="1"/>
    <col min="6" max="6" width="15.85546875" style="97" customWidth="1"/>
    <col min="7" max="8" width="11.7109375" style="97" customWidth="1"/>
    <col min="9" max="9" width="14" style="97" customWidth="1"/>
    <col min="10" max="10" width="58.85546875" style="97" bestFit="1" customWidth="1"/>
    <col min="11" max="11" width="11.140625" style="97" bestFit="1" customWidth="1"/>
    <col min="12" max="16384" width="9.140625" style="97"/>
  </cols>
  <sheetData>
    <row r="1" spans="1:10" ht="53.25">
      <c r="A1" s="98" t="s">
        <v>0</v>
      </c>
      <c r="B1" s="98" t="s">
        <v>1</v>
      </c>
      <c r="C1" s="98" t="s">
        <v>2</v>
      </c>
      <c r="D1" s="98" t="s">
        <v>3</v>
      </c>
      <c r="E1" s="98" t="s">
        <v>4</v>
      </c>
      <c r="F1" s="98" t="s">
        <v>5</v>
      </c>
      <c r="G1" s="98" t="s">
        <v>6</v>
      </c>
      <c r="H1" s="98" t="s">
        <v>7</v>
      </c>
      <c r="I1" s="98" t="s">
        <v>8</v>
      </c>
      <c r="J1" s="98" t="s">
        <v>9</v>
      </c>
    </row>
    <row r="2" spans="1:10" ht="38.25" customHeight="1">
      <c r="A2" s="99" t="s">
        <v>10</v>
      </c>
      <c r="B2" s="100" t="s">
        <v>128</v>
      </c>
      <c r="C2" s="101">
        <v>26</v>
      </c>
      <c r="D2" s="101">
        <v>26</v>
      </c>
      <c r="E2" s="101">
        <v>0</v>
      </c>
      <c r="F2" s="101">
        <v>0</v>
      </c>
      <c r="G2" s="102">
        <f>IFERROR(D2/C2,"N/A")</f>
        <v>1</v>
      </c>
      <c r="H2" s="103">
        <f>IFERROR(E2/D2,"N/A")</f>
        <v>0</v>
      </c>
      <c r="I2" s="102" t="str">
        <f>IFERROR(F2/E2,"N/A")</f>
        <v>N/A</v>
      </c>
      <c r="J2" s="104" t="s">
        <v>129</v>
      </c>
    </row>
    <row r="3" spans="1:10" ht="38.25" customHeight="1">
      <c r="A3" s="99" t="s">
        <v>13</v>
      </c>
      <c r="B3" s="100" t="s">
        <v>130</v>
      </c>
      <c r="C3" s="101">
        <v>19</v>
      </c>
      <c r="D3" s="101">
        <v>19</v>
      </c>
      <c r="E3" s="101">
        <v>0</v>
      </c>
      <c r="F3" s="101">
        <v>0</v>
      </c>
      <c r="G3" s="102">
        <f>IFERROR(D3/C3,"N/A")</f>
        <v>1</v>
      </c>
      <c r="H3" s="103">
        <f>IFERROR(E3/D3,"N/A")</f>
        <v>0</v>
      </c>
      <c r="I3" s="102" t="str">
        <f>IFERROR(F3/E3,"N/A")</f>
        <v>N/A</v>
      </c>
      <c r="J3" s="104" t="s">
        <v>131</v>
      </c>
    </row>
    <row r="4" spans="1:10" ht="38.25" customHeight="1">
      <c r="A4" s="99" t="s">
        <v>16</v>
      </c>
      <c r="B4" s="100" t="s">
        <v>130</v>
      </c>
      <c r="C4" s="101">
        <v>22</v>
      </c>
      <c r="D4" s="101">
        <v>20</v>
      </c>
      <c r="E4" s="101">
        <v>0</v>
      </c>
      <c r="F4" s="101">
        <v>0</v>
      </c>
      <c r="G4" s="102">
        <f>IFERROR(D4/C4,"N/A")</f>
        <v>0.90909090909090906</v>
      </c>
      <c r="H4" s="103">
        <f>IFERROR(E4/D4,"N/A")</f>
        <v>0</v>
      </c>
      <c r="I4" s="102" t="str">
        <f>IFERROR(F4/E4,"N/A")</f>
        <v>N/A</v>
      </c>
      <c r="J4" s="99" t="s">
        <v>132</v>
      </c>
    </row>
    <row r="5" spans="1:10" ht="38.25" customHeight="1">
      <c r="A5" s="99" t="s">
        <v>18</v>
      </c>
      <c r="B5" s="100" t="s">
        <v>130</v>
      </c>
      <c r="C5" s="101">
        <v>19</v>
      </c>
      <c r="D5" s="101">
        <v>19</v>
      </c>
      <c r="E5" s="101">
        <v>0</v>
      </c>
      <c r="F5" s="101">
        <v>0</v>
      </c>
      <c r="G5" s="102">
        <f>IFERROR(D5/C5,"N/A")</f>
        <v>1</v>
      </c>
      <c r="H5" s="103">
        <f>IFERROR(E5/D5,"N/A")</f>
        <v>0</v>
      </c>
      <c r="I5" s="105" t="str">
        <f>IFERROR(F5/E5,"N/A")</f>
        <v>N/A</v>
      </c>
      <c r="J5" s="104" t="s">
        <v>133</v>
      </c>
    </row>
    <row r="6" spans="1:10" ht="48.75" customHeight="1">
      <c r="A6" s="99" t="s">
        <v>20</v>
      </c>
      <c r="B6" s="100" t="s">
        <v>128</v>
      </c>
      <c r="C6" s="101">
        <v>15</v>
      </c>
      <c r="D6" s="101">
        <v>15</v>
      </c>
      <c r="E6" s="101">
        <v>0</v>
      </c>
      <c r="F6" s="101">
        <v>0</v>
      </c>
      <c r="G6" s="102">
        <f>IFERROR(D6/C6,"N/A")</f>
        <v>1</v>
      </c>
      <c r="H6" s="103">
        <f>IFERROR(E6/D6,"N/A")</f>
        <v>0</v>
      </c>
      <c r="I6" s="105" t="str">
        <f>IFERROR(F6/E6,"N/A")</f>
        <v>N/A</v>
      </c>
      <c r="J6" s="104" t="s">
        <v>134</v>
      </c>
    </row>
    <row r="7" spans="1:10" ht="52.5" customHeight="1">
      <c r="A7" s="106" t="s">
        <v>22</v>
      </c>
      <c r="B7" s="100" t="s">
        <v>128</v>
      </c>
      <c r="C7" s="101">
        <v>21</v>
      </c>
      <c r="D7" s="101">
        <v>19</v>
      </c>
      <c r="E7" s="101">
        <v>3</v>
      </c>
      <c r="F7" s="101">
        <v>3</v>
      </c>
      <c r="G7" s="102">
        <f>IFERROR(D7/C7,"N/A")</f>
        <v>0.90476190476190477</v>
      </c>
      <c r="H7" s="103">
        <f>IFERROR(E7/D7,"N/A")</f>
        <v>0.15789473684210525</v>
      </c>
      <c r="I7" s="105">
        <f>IFERROR(F7/E7,"N/A")</f>
        <v>1</v>
      </c>
      <c r="J7" s="107" t="s">
        <v>135</v>
      </c>
    </row>
    <row r="8" spans="1:10" ht="120" customHeight="1">
      <c r="A8" s="107" t="s">
        <v>24</v>
      </c>
      <c r="B8" s="100" t="s">
        <v>128</v>
      </c>
      <c r="C8" s="101">
        <v>0</v>
      </c>
      <c r="D8" s="101">
        <v>0</v>
      </c>
      <c r="E8" s="101">
        <v>0</v>
      </c>
      <c r="F8" s="101">
        <v>0</v>
      </c>
      <c r="G8" s="102" t="str">
        <f>IFERROR(D8/C8,"N/A")</f>
        <v>N/A</v>
      </c>
      <c r="H8" s="103" t="str">
        <f>IFERROR(E8/D8,"N/A")</f>
        <v>N/A</v>
      </c>
      <c r="I8" s="105" t="str">
        <f>IFERROR(F8/E8,"N/A")</f>
        <v>N/A</v>
      </c>
      <c r="J8" s="74" t="s">
        <v>136</v>
      </c>
    </row>
    <row r="9" spans="1:10" ht="172.5" customHeight="1">
      <c r="A9" s="107" t="s">
        <v>113</v>
      </c>
      <c r="B9" s="100" t="s">
        <v>137</v>
      </c>
      <c r="C9" s="101">
        <v>320</v>
      </c>
      <c r="D9" s="101">
        <v>329</v>
      </c>
      <c r="E9" s="101">
        <v>0</v>
      </c>
      <c r="F9" s="101">
        <v>0</v>
      </c>
      <c r="G9" s="102">
        <f>IFERROR(D9/C9,"N/A")</f>
        <v>1.028125</v>
      </c>
      <c r="H9" s="103">
        <f>IFERROR(E9/D9,"N/A")</f>
        <v>0</v>
      </c>
      <c r="I9" s="105" t="str">
        <f>IFERROR(F9/E9,"N/A")</f>
        <v>N/A</v>
      </c>
      <c r="J9" s="74" t="s">
        <v>138</v>
      </c>
    </row>
    <row r="10" spans="1:10" ht="30.75" customHeight="1">
      <c r="A10" s="120" t="s">
        <v>26</v>
      </c>
      <c r="B10" s="121"/>
      <c r="C10" s="108">
        <f>SUM(C2:C9)</f>
        <v>442</v>
      </c>
      <c r="D10" s="108">
        <f>SUM(D2:D9)</f>
        <v>447</v>
      </c>
      <c r="E10" s="108">
        <f>SUM(E2:E9)</f>
        <v>3</v>
      </c>
      <c r="F10" s="108">
        <f>SUM(F2:F9)</f>
        <v>3</v>
      </c>
      <c r="G10" s="109">
        <f>IFERROR(AVERAGE(G2:G9),"N/A")</f>
        <v>0.97742540197897354</v>
      </c>
      <c r="H10" s="110">
        <f>IFERROR(AVERAGE(H2:H9),"N/A")</f>
        <v>2.2556390977443608E-2</v>
      </c>
      <c r="I10" s="109">
        <f>IFERROR(AVERAGE(I2:I9),"N/A")</f>
        <v>1</v>
      </c>
      <c r="J10" s="111"/>
    </row>
  </sheetData>
  <mergeCells count="1">
    <mergeCell ref="A10:B10"/>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C5DE7-8791-499C-B2AD-91F317D79708}">
  <sheetPr>
    <tabColor theme="7"/>
  </sheetPr>
  <dimension ref="A1:J10"/>
  <sheetViews>
    <sheetView tabSelected="1" topLeftCell="B6" zoomScale="85" zoomScaleNormal="85" workbookViewId="0">
      <selection activeCell="J8" sqref="J8"/>
    </sheetView>
  </sheetViews>
  <sheetFormatPr defaultColWidth="9.140625" defaultRowHeight="14.25"/>
  <cols>
    <col min="1" max="1" width="50.7109375" style="97" customWidth="1"/>
    <col min="2" max="2" width="26.7109375" style="97" customWidth="1"/>
    <col min="3" max="3" width="18.42578125" style="97" customWidth="1"/>
    <col min="4" max="5" width="16.85546875" style="97" customWidth="1"/>
    <col min="6" max="6" width="15.85546875" style="97" customWidth="1"/>
    <col min="7" max="8" width="11.7109375" style="97" customWidth="1"/>
    <col min="9" max="9" width="14" style="97" customWidth="1"/>
    <col min="10" max="10" width="70.28515625" style="97" customWidth="1"/>
    <col min="11" max="11" width="11.140625" style="97" bestFit="1" customWidth="1"/>
    <col min="12" max="16384" width="9.140625" style="97"/>
  </cols>
  <sheetData>
    <row r="1" spans="1:10" ht="53.25">
      <c r="A1" s="98" t="s">
        <v>0</v>
      </c>
      <c r="B1" s="98" t="s">
        <v>1</v>
      </c>
      <c r="C1" s="98" t="s">
        <v>2</v>
      </c>
      <c r="D1" s="98" t="s">
        <v>3</v>
      </c>
      <c r="E1" s="98" t="s">
        <v>4</v>
      </c>
      <c r="F1" s="98" t="s">
        <v>5</v>
      </c>
      <c r="G1" s="98" t="s">
        <v>6</v>
      </c>
      <c r="H1" s="98" t="s">
        <v>7</v>
      </c>
      <c r="I1" s="98" t="s">
        <v>8</v>
      </c>
      <c r="J1" s="98" t="s">
        <v>9</v>
      </c>
    </row>
    <row r="2" spans="1:10" ht="38.25" customHeight="1">
      <c r="A2" s="99" t="s">
        <v>10</v>
      </c>
      <c r="B2" s="100" t="s">
        <v>139</v>
      </c>
      <c r="C2" s="101">
        <v>31</v>
      </c>
      <c r="D2" s="101">
        <v>31</v>
      </c>
      <c r="E2" s="101">
        <v>0</v>
      </c>
      <c r="F2" s="101">
        <v>0</v>
      </c>
      <c r="G2" s="102">
        <f>IFERROR(D2/C2,"N/A")</f>
        <v>1</v>
      </c>
      <c r="H2" s="103">
        <f>IFERROR(E2/D2,"N/A")</f>
        <v>0</v>
      </c>
      <c r="I2" s="102" t="str">
        <f>IFERROR(F2/E2,"N/A")</f>
        <v>N/A</v>
      </c>
      <c r="J2" s="104" t="s">
        <v>140</v>
      </c>
    </row>
    <row r="3" spans="1:10" ht="38.25" customHeight="1">
      <c r="A3" s="99" t="s">
        <v>13</v>
      </c>
      <c r="B3" s="100" t="s">
        <v>141</v>
      </c>
      <c r="C3" s="101">
        <v>23</v>
      </c>
      <c r="D3" s="101">
        <v>16</v>
      </c>
      <c r="E3" s="101">
        <v>0</v>
      </c>
      <c r="F3" s="101">
        <v>0</v>
      </c>
      <c r="G3" s="102">
        <f>IFERROR(D3/C3,"N/A")</f>
        <v>0.69565217391304346</v>
      </c>
      <c r="H3" s="103">
        <f>IFERROR(E3/D3,"N/A")</f>
        <v>0</v>
      </c>
      <c r="I3" s="102" t="str">
        <f>IFERROR(F3/E3,"N/A")</f>
        <v>N/A</v>
      </c>
      <c r="J3" s="104" t="s">
        <v>142</v>
      </c>
    </row>
    <row r="4" spans="1:10" ht="38.25" customHeight="1">
      <c r="A4" s="99" t="s">
        <v>16</v>
      </c>
      <c r="B4" s="100" t="s">
        <v>141</v>
      </c>
      <c r="C4" s="101">
        <v>12</v>
      </c>
      <c r="D4" s="101">
        <v>9</v>
      </c>
      <c r="E4" s="101">
        <v>0</v>
      </c>
      <c r="F4" s="101">
        <v>0</v>
      </c>
      <c r="G4" s="102">
        <f>IFERROR(D4/C4,"N/A")</f>
        <v>0.75</v>
      </c>
      <c r="H4" s="103">
        <f>IFERROR(E4/D4,"N/A")</f>
        <v>0</v>
      </c>
      <c r="I4" s="102" t="str">
        <f>IFERROR(F4/E4,"N/A")</f>
        <v>N/A</v>
      </c>
      <c r="J4" s="99" t="s">
        <v>143</v>
      </c>
    </row>
    <row r="5" spans="1:10" ht="38.25" customHeight="1">
      <c r="A5" s="99" t="s">
        <v>18</v>
      </c>
      <c r="B5" s="100" t="s">
        <v>141</v>
      </c>
      <c r="C5" s="101">
        <v>59</v>
      </c>
      <c r="D5" s="101">
        <v>55</v>
      </c>
      <c r="E5" s="101">
        <v>1</v>
      </c>
      <c r="F5" s="101">
        <v>1</v>
      </c>
      <c r="G5" s="102">
        <f>IFERROR(D5/C5,"N/A")</f>
        <v>0.93220338983050843</v>
      </c>
      <c r="H5" s="103">
        <f>IFERROR(E5/D5,"N/A")</f>
        <v>1.8181818181818181E-2</v>
      </c>
      <c r="I5" s="105">
        <f>IFERROR(F5/E5,"N/A")</f>
        <v>1</v>
      </c>
      <c r="J5" s="104" t="s">
        <v>144</v>
      </c>
    </row>
    <row r="6" spans="1:10" ht="48.75" customHeight="1">
      <c r="A6" s="99" t="s">
        <v>20</v>
      </c>
      <c r="B6" s="100" t="s">
        <v>139</v>
      </c>
      <c r="C6" s="101">
        <v>45</v>
      </c>
      <c r="D6" s="101">
        <v>45</v>
      </c>
      <c r="E6" s="101">
        <v>5</v>
      </c>
      <c r="F6" s="101">
        <v>5</v>
      </c>
      <c r="G6" s="102">
        <f>IFERROR(D6/C6,"N/A")</f>
        <v>1</v>
      </c>
      <c r="H6" s="103">
        <f>IFERROR(E6/D6,"N/A")</f>
        <v>0.1111111111111111</v>
      </c>
      <c r="I6" s="105">
        <f>IFERROR(F6/E6,"N/A")</f>
        <v>1</v>
      </c>
      <c r="J6" s="104" t="s">
        <v>145</v>
      </c>
    </row>
    <row r="7" spans="1:10" ht="52.5" customHeight="1">
      <c r="A7" s="99" t="s">
        <v>22</v>
      </c>
      <c r="B7" s="100" t="s">
        <v>139</v>
      </c>
      <c r="C7" s="101">
        <v>15</v>
      </c>
      <c r="D7" s="101">
        <v>12</v>
      </c>
      <c r="E7" s="101">
        <v>1</v>
      </c>
      <c r="F7" s="101">
        <v>0</v>
      </c>
      <c r="G7" s="102">
        <f>IFERROR(D7/C7,"N/A")</f>
        <v>0.8</v>
      </c>
      <c r="H7" s="103">
        <f>IFERROR(E7/D7,"N/A")</f>
        <v>8.3333333333333329E-2</v>
      </c>
      <c r="I7" s="105">
        <f>IFERROR(F7/E7,"N/A")</f>
        <v>0</v>
      </c>
      <c r="J7" s="107" t="s">
        <v>146</v>
      </c>
    </row>
    <row r="8" spans="1:10" ht="44.25" customHeight="1">
      <c r="A8" s="99" t="s">
        <v>24</v>
      </c>
      <c r="B8" s="100" t="s">
        <v>139</v>
      </c>
      <c r="C8" s="101">
        <v>1</v>
      </c>
      <c r="D8" s="101">
        <v>1</v>
      </c>
      <c r="E8" s="101">
        <v>2</v>
      </c>
      <c r="F8" s="101">
        <v>2</v>
      </c>
      <c r="G8" s="102">
        <f>IFERROR(D8/C8,"N/A")</f>
        <v>1</v>
      </c>
      <c r="H8" s="103">
        <f>IFERROR(E8/D8,"N/A")</f>
        <v>2</v>
      </c>
      <c r="I8" s="105">
        <f>IFERROR(F8/E8,"N/A")</f>
        <v>1</v>
      </c>
      <c r="J8" s="74" t="s">
        <v>147</v>
      </c>
    </row>
    <row r="9" spans="1:10" ht="294.75" customHeight="1">
      <c r="A9" s="99" t="s">
        <v>113</v>
      </c>
      <c r="B9" s="100" t="s">
        <v>148</v>
      </c>
      <c r="C9" s="101">
        <v>366</v>
      </c>
      <c r="D9" s="101">
        <v>365</v>
      </c>
      <c r="E9" s="101">
        <v>0</v>
      </c>
      <c r="F9" s="101">
        <v>0</v>
      </c>
      <c r="G9" s="102">
        <f>IFERROR(D9/C9,"N/A")</f>
        <v>0.99726775956284153</v>
      </c>
      <c r="H9" s="103">
        <f>IFERROR(E9/D9,"N/A")</f>
        <v>0</v>
      </c>
      <c r="I9" s="105" t="str">
        <f>IFERROR(F9/E9,"N/A")</f>
        <v>N/A</v>
      </c>
      <c r="J9" s="74" t="s">
        <v>149</v>
      </c>
    </row>
    <row r="10" spans="1:10" ht="30.75" customHeight="1">
      <c r="A10" s="120" t="s">
        <v>26</v>
      </c>
      <c r="B10" s="121"/>
      <c r="C10" s="108">
        <f>SUM(C2:C9)</f>
        <v>552</v>
      </c>
      <c r="D10" s="108">
        <f>SUM(D2:D9)</f>
        <v>534</v>
      </c>
      <c r="E10" s="108">
        <f>SUM(E2:E9)</f>
        <v>9</v>
      </c>
      <c r="F10" s="108">
        <f>SUM(F2:F9)</f>
        <v>8</v>
      </c>
      <c r="G10" s="109">
        <f>IFERROR(AVERAGE(G2:G9),"N/A")</f>
        <v>0.89689041541329917</v>
      </c>
      <c r="H10" s="110">
        <f>IFERROR(AVERAGE(H2:H9),"N/A")</f>
        <v>0.27657828282828284</v>
      </c>
      <c r="I10" s="109">
        <f>IFERROR(AVERAGE(I2:I9),"N/A")</f>
        <v>0.75</v>
      </c>
      <c r="J10" s="111"/>
    </row>
  </sheetData>
  <mergeCells count="1">
    <mergeCell ref="A10:B10"/>
  </mergeCells>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DC2141999F3A34989E45D589C11CC4C" ma:contentTypeVersion="4" ma:contentTypeDescription="Create a new document." ma:contentTypeScope="" ma:versionID="24d699b8f429e1560400ef0a67812efe">
  <xsd:schema xmlns:xsd="http://www.w3.org/2001/XMLSchema" xmlns:xs="http://www.w3.org/2001/XMLSchema" xmlns:p="http://schemas.microsoft.com/office/2006/metadata/properties" xmlns:ns2="65d4c795-5362-4472-a968-0591b4901adb" targetNamespace="http://schemas.microsoft.com/office/2006/metadata/properties" ma:root="true" ma:fieldsID="ee8f884f8b22b9ab402ffe2da75b1f05" ns2:_="">
    <xsd:import namespace="65d4c795-5362-4472-a968-0591b4901adb"/>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d4c795-5362-4472-a968-0591b4901ad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FC4B52-E37B-45F0-B4A0-9948E136C18E}"/>
</file>

<file path=customXml/itemProps2.xml><?xml version="1.0" encoding="utf-8"?>
<ds:datastoreItem xmlns:ds="http://schemas.openxmlformats.org/officeDocument/2006/customXml" ds:itemID="{E4EEDA73-8B6B-4F61-82BF-6CC2097B50BA}"/>
</file>

<file path=customXml/itemProps3.xml><?xml version="1.0" encoding="utf-8"?>
<ds:datastoreItem xmlns:ds="http://schemas.openxmlformats.org/officeDocument/2006/customXml" ds:itemID="{8E91CB2A-99E8-43BD-8637-15FC1F6997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Mahfudin</dc:creator>
  <cp:keywords/>
  <dc:description/>
  <cp:lastModifiedBy/>
  <cp:revision/>
  <dcterms:created xsi:type="dcterms:W3CDTF">2025-07-08T07:30:14Z</dcterms:created>
  <dcterms:modified xsi:type="dcterms:W3CDTF">2025-11-07T03:34:09Z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0x0101004DC2141999F3A34989E45D589C11CC4C</vt:lpwstr>
  </property>
</Properties>
</file>