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qualityreport\data\evidence\data_procesor\"/>
    </mc:Choice>
  </mc:AlternateContent>
  <xr:revisionPtr revIDLastSave="0" documentId="13_ncr:1_{593E3E84-4D4C-4E7C-A850-A4C047C6599A}" xr6:coauthVersionLast="47" xr6:coauthVersionMax="47" xr10:uidLastSave="{00000000-0000-0000-0000-000000000000}"/>
  <bookViews>
    <workbookView xWindow="-103" yWindow="-103" windowWidth="24892" windowHeight="14914" xr2:uid="{1BFDC0BB-3264-4789-A41B-B16DE7BD9ED5}"/>
  </bookViews>
  <sheets>
    <sheet name="SI" sheetId="13" r:id="rId1"/>
    <sheet name="January" sheetId="10" r:id="rId2"/>
    <sheet name="February" sheetId="9" r:id="rId3"/>
    <sheet name="March" sheetId="8" r:id="rId4"/>
    <sheet name="April" sheetId="7" r:id="rId5"/>
    <sheet name="May" sheetId="1" r:id="rId6"/>
    <sheet name="June" sheetId="6" r:id="rId7"/>
    <sheet name="July" sheetId="16" r:id="rId8"/>
    <sheet name="Quality Metrics" sheetId="15" r:id="rId9"/>
    <sheet name="Project Kickoff Status" sheetId="12" r:id="rId10"/>
  </sheets>
  <definedNames>
    <definedName name="_xlnm._FilterDatabase" localSheetId="4" hidden="1">April!$A$1:$Q$1</definedName>
    <definedName name="_xlnm._FilterDatabase" localSheetId="2" hidden="1">February!$A$1:$Q$1</definedName>
    <definedName name="_xlnm._FilterDatabase" localSheetId="1" hidden="1">January!$A$1:$Q$1</definedName>
    <definedName name="_xlnm._FilterDatabase" localSheetId="7" hidden="1">July!$A$1:$Q$1</definedName>
    <definedName name="_xlnm._FilterDatabase" localSheetId="6" hidden="1">June!$A$1:$Q$1</definedName>
    <definedName name="_xlnm._FilterDatabase" localSheetId="3" hidden="1">March!$A$1:$Q$1</definedName>
    <definedName name="_xlnm._FilterDatabase" localSheetId="5" hidden="1">May!$A$1:$Q$1</definedName>
    <definedName name="_xlnm._FilterDatabase" localSheetId="0" hidden="1">SI!$A$1:$R$11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6" l="1"/>
  <c r="O9" i="16"/>
  <c r="N9" i="16"/>
  <c r="P8" i="16"/>
  <c r="O8" i="16"/>
  <c r="N8" i="16"/>
  <c r="P7" i="16"/>
  <c r="O7" i="16"/>
  <c r="N7" i="16"/>
  <c r="P6" i="16"/>
  <c r="O6" i="16"/>
  <c r="N6" i="16"/>
  <c r="P5" i="16"/>
  <c r="O5" i="16"/>
  <c r="N5" i="16"/>
  <c r="P4" i="16"/>
  <c r="O4" i="16"/>
  <c r="N4" i="16"/>
  <c r="P3" i="16"/>
  <c r="O3" i="16"/>
  <c r="N3" i="16"/>
  <c r="P2" i="16"/>
  <c r="O2" i="16"/>
  <c r="N2" i="16"/>
  <c r="Q12" i="13"/>
  <c r="P12" i="13"/>
  <c r="O12" i="13"/>
  <c r="Q11" i="13"/>
  <c r="P11" i="13"/>
  <c r="O11" i="13"/>
  <c r="Q10" i="13"/>
  <c r="P10" i="13"/>
  <c r="O10" i="13"/>
  <c r="Q9" i="13"/>
  <c r="P9" i="13"/>
  <c r="O9" i="13"/>
  <c r="Q8" i="13"/>
  <c r="P8" i="13"/>
  <c r="O8" i="13"/>
  <c r="Q7" i="13"/>
  <c r="P7" i="13"/>
  <c r="O7" i="13"/>
  <c r="Q6" i="13"/>
  <c r="P6" i="13"/>
  <c r="O6" i="13"/>
  <c r="Q5" i="13"/>
  <c r="P5" i="13"/>
  <c r="O5" i="13"/>
  <c r="Q4" i="13"/>
  <c r="P4" i="13"/>
  <c r="O4" i="13"/>
  <c r="Q3" i="13"/>
  <c r="P3" i="13"/>
  <c r="O3" i="13"/>
  <c r="Q2" i="13"/>
  <c r="P2" i="13"/>
  <c r="O2" i="13"/>
  <c r="E26" i="12"/>
  <c r="E28" i="12" s="1"/>
  <c r="E22" i="12"/>
  <c r="E24" i="12" s="1"/>
  <c r="P5" i="10"/>
  <c r="O5" i="10"/>
  <c r="N5" i="10"/>
  <c r="P4" i="10"/>
  <c r="O4" i="10"/>
  <c r="N4" i="10"/>
  <c r="P3" i="10"/>
  <c r="O3" i="10"/>
  <c r="N3" i="10"/>
  <c r="P2" i="10"/>
  <c r="O2" i="10"/>
  <c r="N2" i="10"/>
  <c r="P5" i="9"/>
  <c r="O5" i="9"/>
  <c r="N5" i="9"/>
  <c r="P4" i="9"/>
  <c r="O4" i="9"/>
  <c r="N4" i="9"/>
  <c r="P3" i="9"/>
  <c r="O3" i="9"/>
  <c r="N3" i="9"/>
  <c r="P2" i="9"/>
  <c r="O2" i="9"/>
  <c r="N2" i="9"/>
  <c r="P5" i="8"/>
  <c r="O5" i="8"/>
  <c r="N5" i="8"/>
  <c r="P4" i="8"/>
  <c r="O4" i="8"/>
  <c r="N4" i="8"/>
  <c r="P3" i="8"/>
  <c r="O3" i="8"/>
  <c r="N3" i="8"/>
  <c r="P2" i="8"/>
  <c r="O2" i="8"/>
  <c r="N2" i="8"/>
  <c r="P6" i="7"/>
  <c r="O6" i="7"/>
  <c r="N6" i="7"/>
  <c r="P5" i="7"/>
  <c r="O5" i="7"/>
  <c r="N5" i="7"/>
  <c r="P4" i="7"/>
  <c r="O4" i="7"/>
  <c r="N4" i="7"/>
  <c r="P3" i="7"/>
  <c r="O3" i="7"/>
  <c r="N3" i="7"/>
  <c r="P2" i="7"/>
  <c r="O2" i="7"/>
  <c r="N2" i="7"/>
  <c r="P8" i="6"/>
  <c r="O8" i="6"/>
  <c r="N8" i="6"/>
  <c r="P7" i="6"/>
  <c r="O7" i="6"/>
  <c r="N7" i="6"/>
  <c r="P6" i="6"/>
  <c r="O6" i="6"/>
  <c r="N6" i="6"/>
  <c r="P5" i="6"/>
  <c r="O5" i="6"/>
  <c r="N5" i="6"/>
  <c r="P4" i="6"/>
  <c r="O4" i="6"/>
  <c r="N4" i="6"/>
  <c r="P3" i="6"/>
  <c r="O3" i="6"/>
  <c r="N3" i="6"/>
  <c r="P2" i="6"/>
  <c r="O2" i="6"/>
  <c r="N2" i="6"/>
  <c r="F26" i="12" l="1"/>
  <c r="F22" i="12"/>
  <c r="N2" i="1"/>
  <c r="N3" i="1"/>
  <c r="N4" i="1"/>
  <c r="N5" i="1"/>
  <c r="N6" i="1"/>
  <c r="N7" i="1"/>
  <c r="O2" i="1"/>
  <c r="O3" i="1"/>
  <c r="O4" i="1"/>
  <c r="O5" i="1"/>
  <c r="O6" i="1"/>
  <c r="O7" i="1"/>
  <c r="P3" i="1"/>
  <c r="P4" i="1"/>
  <c r="P5" i="1"/>
  <c r="P6" i="1"/>
  <c r="P7" i="1"/>
  <c r="P2" i="1"/>
</calcChain>
</file>

<file path=xl/sharedStrings.xml><?xml version="1.0" encoding="utf-8"?>
<sst xmlns="http://schemas.openxmlformats.org/spreadsheetml/2006/main" count="449" uniqueCount="147">
  <si>
    <t>Project ID</t>
  </si>
  <si>
    <t>Total Workload</t>
  </si>
  <si>
    <t>Completed Workload</t>
  </si>
  <si>
    <t>Defect</t>
  </si>
  <si>
    <t>Fixed defect</t>
  </si>
  <si>
    <t>Function Fulfillment Rate</t>
  </si>
  <si>
    <t>Defect Density</t>
  </si>
  <si>
    <t>Defect Correction Rate</t>
  </si>
  <si>
    <t>Comment</t>
  </si>
  <si>
    <t>IDB Team</t>
  </si>
  <si>
    <t xml:space="preserve"> Project Name</t>
  </si>
  <si>
    <t>LGSM Career Job Portal</t>
  </si>
  <si>
    <t>No of Employee</t>
  </si>
  <si>
    <t>Nisha Devadas Bhat</t>
  </si>
  <si>
    <t>Muhammad Lukmanul Hakim</t>
  </si>
  <si>
    <t>Ninan Kara Gicha Nasution</t>
  </si>
  <si>
    <t>Riski Candra Aristiawan</t>
  </si>
  <si>
    <t>Sapta Sanjaya</t>
  </si>
  <si>
    <t>Start date</t>
  </si>
  <si>
    <t>End Date</t>
  </si>
  <si>
    <t xml:space="preserve">Stefanus Kurniawan, Willy Candra Sugianto </t>
  </si>
  <si>
    <t>Jeremy Marvin Christian</t>
  </si>
  <si>
    <t>All 13 tasks were completed successfully with no defects reported.</t>
  </si>
  <si>
    <t>All 32 tasks were completed, and 28 reported defects were fully resolved.</t>
  </si>
  <si>
    <t>All 10 tasks were completed successfully with no defects reported.</t>
  </si>
  <si>
    <t>All 42 tasks were completed, and no defects were detected.</t>
  </si>
  <si>
    <t>All 119 tasks were completed. A total of 12 defects were identified and fully resolved.</t>
  </si>
  <si>
    <t>8 out of 9 tasks were completed, with no defects reported.</t>
  </si>
  <si>
    <t>All 16 tasks were delivered without any defect occurrence.</t>
  </si>
  <si>
    <t>5 out of 6 tasks were completed, with no defects reported.</t>
  </si>
  <si>
    <t>7 out of 8 tasks were completed, with no defects reported.</t>
  </si>
  <si>
    <t>The single assigned task was completed successfully, with no defects identified.</t>
  </si>
  <si>
    <t>SF Core is not yet fully using Wire-Work for Task Tracking Management</t>
  </si>
  <si>
    <t>[GDC] Smart Factory</t>
  </si>
  <si>
    <t>[GDC] LGUS</t>
  </si>
  <si>
    <t>[LGSM] Internal Project</t>
  </si>
  <si>
    <t>All 14 tasks were completed without any defect occurrences.</t>
  </si>
  <si>
    <t>LGSM Sandbox</t>
  </si>
  <si>
    <t xml:space="preserve">  </t>
  </si>
  <si>
    <t>Apr</t>
  </si>
  <si>
    <t>May</t>
  </si>
  <si>
    <t>Rate Kick-off</t>
  </si>
  <si>
    <t>Highlight</t>
  </si>
  <si>
    <t>SI/SM Group</t>
  </si>
  <si>
    <t>Plan</t>
  </si>
  <si>
    <t xml:space="preserve">02 Project can't start as planned because the person is unavailable, detailed:
+ From April: R&amp;D- LGES PLM  project:  Member of this project join VNB at 26. May---&gt; QA guide &amp; follow member project hold Kick-off as soon as possible
+ May: LG CNS Internal system Project  (Total MM: 69) 
</t>
  </si>
  <si>
    <t xml:space="preserve">Actual </t>
  </si>
  <si>
    <t>Pending</t>
  </si>
  <si>
    <t>Project Name</t>
  </si>
  <si>
    <t>1. Smart logistic (DD)
2. LGE PCC (CX)
3. SOHO Opening AS Process (TEL)
4. LGIT Mexico Vehicle LS GMES Construction (SF)</t>
  </si>
  <si>
    <t>CoE Group</t>
  </si>
  <si>
    <t>02 Project can't start as planned because the person is unavailable, detailed: SCMable, DevOnn AIDD
5 project remaining on April is now dropped (from E/S CoE Team)</t>
  </si>
  <si>
    <t>1.Butter fly</t>
  </si>
  <si>
    <t>1. Korean App
2. Olero
3. Singlex Data Hub
4. Singlex UAS</t>
  </si>
  <si>
    <t>Project</t>
  </si>
  <si>
    <t>STATUS PROJECT KICK-OFF IN June.2025</t>
  </si>
  <si>
    <t>Example</t>
  </si>
  <si>
    <t>IDB</t>
  </si>
  <si>
    <t>June</t>
  </si>
  <si>
    <t>Cancel ticket : 6
In Checking : 3
In Progress : 2
Todo : 1</t>
  </si>
  <si>
    <t>All 94 tasks were completed with no defects detected.</t>
  </si>
  <si>
    <t>All 24 tasks were completed with no defects reported.</t>
  </si>
  <si>
    <t>All 37 tasks were completed. No defects have been reported.</t>
  </si>
  <si>
    <t>All 26 completed. No defects have been reported, canceled 7</t>
  </si>
  <si>
    <t>All 69 tasks were successfully completed without any defect occurrence. Cancel : 3</t>
  </si>
  <si>
    <t>All 30 tasks were successfully completed without any defects.</t>
  </si>
  <si>
    <t>31 out of 32 tasks were completed with zero defects reported. 1 checking subtasks SSMPP002-550</t>
  </si>
  <si>
    <t>All 17 tasks were completed successfully with zero defects identified.</t>
  </si>
  <si>
    <t>61 of the 63 planned tasks were completed, and no defects were reported.</t>
  </si>
  <si>
    <t>All 42 tasks were delivered with no defects identified.</t>
  </si>
  <si>
    <t>All 50 tasks were completed without any defect occurrences, canceled : 5</t>
  </si>
  <si>
    <t>The project delivered all 57 tasks with no defects identified during execution.</t>
  </si>
  <si>
    <t>All 9 tasks were completed without any defects identified.</t>
  </si>
  <si>
    <t>Project Type</t>
  </si>
  <si>
    <t>SM</t>
  </si>
  <si>
    <t>SI</t>
  </si>
  <si>
    <t>Sprint</t>
  </si>
  <si>
    <t>Sprint Schedule</t>
  </si>
  <si>
    <t>2025-04-08 - 2025-05-02</t>
  </si>
  <si>
    <t>2025-03-03 - 2025-03-26</t>
  </si>
  <si>
    <t xml:space="preserve">
2025-05-05 - 2025-06-25</t>
  </si>
  <si>
    <t>2025-06-02 - 
2025-07-02</t>
  </si>
  <si>
    <t>2025-01-13 - 2025-02-10</t>
  </si>
  <si>
    <t>2025-02-10 - 2025-03-10</t>
  </si>
  <si>
    <t>2025-03-11 - 2025-04-08</t>
  </si>
  <si>
    <t>2025-04-09 - 2025-05-07</t>
  </si>
  <si>
    <t>2025-05-08 - 2025-06-05</t>
  </si>
  <si>
    <t>2025-06-09 - 2025-07-07</t>
  </si>
  <si>
    <t xml:space="preserve">S#1	</t>
  </si>
  <si>
    <t>S#2</t>
  </si>
  <si>
    <t>S#3</t>
  </si>
  <si>
    <t>S#4</t>
  </si>
  <si>
    <t>S#5</t>
  </si>
  <si>
    <t>S#6</t>
  </si>
  <si>
    <t>Project Leader or PIC</t>
  </si>
  <si>
    <t>70 out of 128 tasks were completed, with 6 defects reported and all 6 successfully fixed. 7 Canceled Ticket</t>
  </si>
  <si>
    <t>Completed 71 out of 110 tasks. 4 defects appeared and were all resolved.</t>
  </si>
  <si>
    <t>37 tasks finished from 53. 3 defects showed up and got fixed.</t>
  </si>
  <si>
    <t>Only 35 of 75 tasks were done. 22 defects found, all were fixed.</t>
  </si>
  <si>
    <t>48 out of 52 tasks were completed. 5 defects came up and were handled.</t>
  </si>
  <si>
    <t>Just 26 of 83 tasks were finished. 17 defects found, 14 were fixed.</t>
  </si>
  <si>
    <t>All 34 tasks were completed. 21 defects were found and all were fixed.</t>
  </si>
  <si>
    <t>Finished all 21 tasks. 8 defects were reported and resolved.</t>
  </si>
  <si>
    <t>48 tasks were done with no delays. 10 defects appeared and were handled.</t>
  </si>
  <si>
    <t>Completed all 38 tasks. 22 defects showed up and were successfully fixed.</t>
  </si>
  <si>
    <t>Standard</t>
  </si>
  <si>
    <t>Issue</t>
  </si>
  <si>
    <t>Risk</t>
  </si>
  <si>
    <t>Bug Correction Rate</t>
  </si>
  <si>
    <t>Bug Density</t>
  </si>
  <si>
    <t>Indicator</t>
  </si>
  <si>
    <t>Quality Metrics</t>
  </si>
  <si>
    <t>Project evaluation will be conducted based on comprehensive "Project Quality Metrics," with the update frequency and evaluation approach tailored to the project type:</t>
  </si>
  <si>
    <r>
      <t>For </t>
    </r>
    <r>
      <rPr>
        <b/>
        <sz val="12"/>
        <color theme="1"/>
        <rFont val="Aptos Display"/>
        <family val="2"/>
        <scheme val="major"/>
      </rPr>
      <t>SM (System Maintenance)</t>
    </r>
    <r>
      <rPr>
        <sz val="12"/>
        <color theme="1"/>
        <rFont val="Aptos Display"/>
        <family val="2"/>
        <scheme val="major"/>
      </rPr>
      <t> projects, focused on maintaining and improving existing systems, evaluations will be updated monthly, allowing a broader view of ongoing system health and maintenance activities over time.</t>
    </r>
  </si>
  <si>
    <t>Completed requests ≤ 70%</t>
  </si>
  <si>
    <t>Completed requests ≥ 70% and &lt; 80%</t>
  </si>
  <si>
    <t>Completed requests ≥ 80%</t>
  </si>
  <si>
    <t>Quality Rate</t>
  </si>
  <si>
    <t>Metric Definitions and Impact on Project Types</t>
  </si>
  <si>
    <r>
      <t xml:space="preserve">Bug density ≥ 3 </t>
    </r>
    <r>
      <rPr>
        <b/>
        <sz val="12"/>
        <color theme="1"/>
        <rFont val="Aptos Display"/>
        <family val="2"/>
        <scheme val="major"/>
      </rPr>
      <t>or</t>
    </r>
    <r>
      <rPr>
        <sz val="12"/>
        <color theme="1"/>
        <rFont val="Aptos Display"/>
        <family val="2"/>
        <scheme val="major"/>
      </rPr>
      <t xml:space="preserve"> Bug correction rate ≤ 70%</t>
    </r>
  </si>
  <si>
    <r>
      <t xml:space="preserve">Bug density ≥ 2 </t>
    </r>
    <r>
      <rPr>
        <b/>
        <sz val="12"/>
        <color theme="1"/>
        <rFont val="Aptos Display"/>
        <family val="2"/>
        <scheme val="major"/>
      </rPr>
      <t>or</t>
    </r>
    <r>
      <rPr>
        <sz val="12"/>
        <color theme="1"/>
        <rFont val="Aptos Display"/>
        <family val="2"/>
        <scheme val="major"/>
      </rPr>
      <t xml:space="preserve"> Bug correction rate &gt; 70% and ≤ 80%</t>
    </r>
  </si>
  <si>
    <r>
      <t xml:space="preserve">Bug density &lt; 2 </t>
    </r>
    <r>
      <rPr>
        <b/>
        <sz val="12"/>
        <color theme="1"/>
        <rFont val="Aptos Display"/>
        <family val="2"/>
        <scheme val="major"/>
      </rPr>
      <t>or</t>
    </r>
    <r>
      <rPr>
        <sz val="12"/>
        <color theme="1"/>
        <rFont val="Aptos Display"/>
        <family val="2"/>
        <scheme val="major"/>
      </rPr>
      <t xml:space="preserve"> Bug correction rate &gt; 80%</t>
    </r>
  </si>
  <si>
    <t>Function Fulfilment Rate</t>
  </si>
  <si>
    <t>Function Fulfilment Evaluation</t>
  </si>
  <si>
    <t>Measures how much of the requested functions have been completed relative to the total planned functions for the project or component.</t>
  </si>
  <si>
    <t xml:space="preserve">Functional Fulfillment: </t>
  </si>
  <si>
    <t>Number of bugs found relative to the size of the project/component - critical for both new development (SI) and ongoing maintenance (SM).</t>
  </si>
  <si>
    <t xml:space="preserve">Bug Correction Rate: </t>
  </si>
  <si>
    <t>Percentage of bugs fixed within the evaluated period, indicating responsiveness and maintenance quality.</t>
  </si>
  <si>
    <t>2 Testers</t>
  </si>
  <si>
    <t>Out of 172 planned tasks, 169 were completed. Two defects were identified - one has already been fixed.
Cancelled: 2 tasks
Defect in progress: SSMPP002-1412</t>
  </si>
  <si>
    <r>
      <t>For </t>
    </r>
    <r>
      <rPr>
        <b/>
        <sz val="12"/>
        <color theme="1"/>
        <rFont val="Aptos Display"/>
        <family val="2"/>
        <scheme val="major"/>
      </rPr>
      <t>SI (System Implementation)</t>
    </r>
    <r>
      <rPr>
        <sz val="12"/>
        <color theme="1"/>
        <rFont val="Aptos Display"/>
        <family val="2"/>
        <scheme val="major"/>
      </rPr>
      <t> projects, which involve building a new system from scratch, evaluations will be updated after every sprint to closely monitor development progress, quality, and issue resolution during incremental delivery phases.</t>
    </r>
  </si>
  <si>
    <t xml:space="preserve"> 2025-04-21 - 2025-04-25</t>
  </si>
  <si>
    <t>Salesforce Maintenance &amp; Enhancement Project</t>
  </si>
  <si>
    <t>Purchasing Enhancement Project</t>
  </si>
  <si>
    <t>SF Intelligence Unit Testing Project</t>
  </si>
  <si>
    <t>SF Automation 2025</t>
  </si>
  <si>
    <t>SF Core Unit 2025</t>
  </si>
  <si>
    <t>SF Automation 2025 is not yet fully using Wire-Work for Task Tracking Management</t>
  </si>
  <si>
    <t>SF Process DX Team 2025</t>
  </si>
  <si>
    <t>Solution Unit Quality DX Team Project 2025</t>
  </si>
  <si>
    <t>[GDC] SINGLEX</t>
  </si>
  <si>
    <t>SINGLEX Business Unit Testing Project</t>
  </si>
  <si>
    <t>Sprint #1 - Testing Scenario: Scenario received on May 25, completed on June 25
Total scenarios: 269
Executed: 265
In Progress: 0
Passed: 222
Failed: 41
For the 41 defects found by the testers, there has been no feedback from the Korean Team so far regarding when the retest will be conducted.</t>
  </si>
  <si>
    <t>[LDC] SHINE NGBS</t>
  </si>
  <si>
    <t>KB Bank System Maintenance</t>
  </si>
  <si>
    <t>The project successfully completed all 154 tasks. 23 defects were reported and 21 has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</si>
</sst>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_);[Red]\(0\)"/>
    <numFmt numFmtId="165" formatCode="[$-13809]d\ mmm\ yyyy;@"/>
  </numFmts>
  <fonts count="19" x14ac:knownFonts="1">
    <font>
      <sz val="11"/>
      <color theme="1"/>
      <name val="Aptos Narrow"/>
      <family val="2"/>
      <scheme val="minor"/>
    </font>
    <font>
      <b/>
      <sz val="12"/>
      <color rgb="FF000000"/>
      <name val="Aptos Display"/>
      <family val="2"/>
      <scheme val="major"/>
    </font>
    <font>
      <b/>
      <sz val="12"/>
      <color rgb="FF172B4D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2"/>
      <color rgb="FFFF0000"/>
      <name val="Aptos Display"/>
      <family val="2"/>
      <scheme val="major"/>
    </font>
    <font>
      <b/>
      <sz val="12"/>
      <color rgb="FFC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i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i/>
      <sz val="12"/>
      <color theme="1"/>
      <name val="Aptos Display"/>
      <family val="2"/>
      <scheme val="major"/>
    </font>
    <font>
      <b/>
      <i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4F5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77982"/>
        <bgColor indexed="64"/>
      </patternFill>
    </fill>
    <fill>
      <patternFill patternType="solid">
        <fgColor rgb="FFF2E77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22">
    <xf numFmtId="0" fontId="0" fillId="0" borderId="0" xfId="0"/>
    <xf numFmtId="0" fontId="1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readingOrder="1"/>
    </xf>
    <xf numFmtId="0" fontId="4" fillId="0" borderId="0" xfId="0" applyFont="1"/>
    <xf numFmtId="0" fontId="4" fillId="4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164" fontId="3" fillId="0" borderId="1" xfId="0" applyNumberFormat="1" applyFont="1" applyBorder="1" applyAlignment="1">
      <alignment horizontal="center" vertical="center" readingOrder="1"/>
    </xf>
    <xf numFmtId="165" fontId="4" fillId="0" borderId="1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top"/>
    </xf>
    <xf numFmtId="9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/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0" borderId="0" xfId="0" applyFont="1"/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7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3" fillId="0" borderId="0" xfId="2" applyAlignment="1">
      <alignment horizontal="left" vertical="center" wrapText="1" indent="1"/>
    </xf>
    <xf numFmtId="0" fontId="4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9" fontId="1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left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5" fillId="12" borderId="4" xfId="0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5" fillId="1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5" fillId="15" borderId="1" xfId="0" applyFont="1" applyFill="1" applyBorder="1" applyAlignment="1">
      <alignment horizontal="center" vertical="center"/>
    </xf>
    <xf numFmtId="0" fontId="15" fillId="15" borderId="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6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9" fontId="10" fillId="4" borderId="1" xfId="0" applyNumberFormat="1" applyFont="1" applyFill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9" fontId="6" fillId="4" borderId="1" xfId="0" applyNumberFormat="1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1" fillId="0" borderId="1" xfId="0" quotePrefix="1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</cellXfs>
  <cellStyles count="3">
    <cellStyle name="Comma [0]" xfId="1" builtinId="6"/>
    <cellStyle name="Hyperlink" xfId="2" builtinId="8"/>
    <cellStyle name="Normal" xfId="0" builtinId="0"/>
  </cellStyles>
  <dxfs count="16"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E77E"/>
      <color rgb="FFF779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1D83-DBFF-439A-ADE0-5B69257C5BF8}">
  <sheetPr>
    <tabColor theme="8" tint="0.59999389629810485"/>
  </sheetPr>
  <dimension ref="A1:R22"/>
  <sheetViews>
    <sheetView tabSelected="1" workbookViewId="0">
      <selection activeCell="H12" sqref="H12"/>
    </sheetView>
  </sheetViews>
  <sheetFormatPr defaultRowHeight="14.6" x14ac:dyDescent="0.4"/>
  <cols>
    <col min="1" max="1" width="9.765625" bestFit="1" customWidth="1"/>
    <col min="2" max="2" width="21.765625" bestFit="1" customWidth="1"/>
    <col min="3" max="3" width="21.4609375" bestFit="1" customWidth="1"/>
    <col min="4" max="4" width="9.69140625" bestFit="1" customWidth="1"/>
    <col min="5" max="5" width="9" bestFit="1" customWidth="1"/>
    <col min="6" max="6" width="24.53515625" bestFit="1" customWidth="1"/>
    <col min="7" max="7" width="15.23046875" bestFit="1" customWidth="1"/>
    <col min="8" max="8" width="12.07421875" bestFit="1" customWidth="1"/>
    <col min="9" max="9" width="6.3828125" style="57" bestFit="1" customWidth="1"/>
    <col min="10" max="10" width="25.23046875" style="67" bestFit="1" customWidth="1"/>
    <col min="11" max="11" width="14.921875" style="57" bestFit="1" customWidth="1"/>
    <col min="12" max="12" width="11.07421875" style="57" bestFit="1" customWidth="1"/>
    <col min="13" max="13" width="6.921875" style="57" bestFit="1" customWidth="1"/>
    <col min="14" max="14" width="11.921875" style="57" bestFit="1" customWidth="1"/>
    <col min="15" max="15" width="24.07421875" style="57" bestFit="1" customWidth="1"/>
    <col min="16" max="16" width="14.3828125" style="57" bestFit="1" customWidth="1"/>
    <col min="17" max="17" width="21.921875" style="57" bestFit="1" customWidth="1"/>
    <col min="18" max="18" width="86.61328125" style="97" bestFit="1" customWidth="1"/>
  </cols>
  <sheetData>
    <row r="1" spans="1:18" s="65" customFormat="1" ht="31.75" x14ac:dyDescent="0.45">
      <c r="A1" s="59" t="s">
        <v>0</v>
      </c>
      <c r="B1" s="59" t="s">
        <v>10</v>
      </c>
      <c r="C1" s="59" t="s">
        <v>9</v>
      </c>
      <c r="D1" s="87" t="s">
        <v>18</v>
      </c>
      <c r="E1" s="60" t="s">
        <v>19</v>
      </c>
      <c r="F1" s="22" t="s">
        <v>94</v>
      </c>
      <c r="G1" s="60" t="s">
        <v>12</v>
      </c>
      <c r="H1" s="61" t="s">
        <v>73</v>
      </c>
      <c r="I1" s="61" t="s">
        <v>76</v>
      </c>
      <c r="J1" s="61" t="s">
        <v>77</v>
      </c>
      <c r="K1" s="61" t="s">
        <v>1</v>
      </c>
      <c r="L1" s="61" t="s">
        <v>2</v>
      </c>
      <c r="M1" s="61" t="s">
        <v>3</v>
      </c>
      <c r="N1" s="61" t="s">
        <v>4</v>
      </c>
      <c r="O1" s="62" t="s">
        <v>5</v>
      </c>
      <c r="P1" s="62" t="s">
        <v>6</v>
      </c>
      <c r="Q1" s="63" t="s">
        <v>7</v>
      </c>
      <c r="R1" s="64" t="s">
        <v>8</v>
      </c>
    </row>
    <row r="2" spans="1:18" ht="15.9" x14ac:dyDescent="0.4">
      <c r="A2" s="79"/>
      <c r="B2" s="12" t="s">
        <v>11</v>
      </c>
      <c r="C2" s="8" t="s">
        <v>35</v>
      </c>
      <c r="D2" s="21"/>
      <c r="E2" s="21"/>
      <c r="F2" s="8" t="s">
        <v>17</v>
      </c>
      <c r="G2" s="7">
        <v>13</v>
      </c>
      <c r="H2" s="7" t="s">
        <v>75</v>
      </c>
      <c r="I2" s="8" t="s">
        <v>88</v>
      </c>
      <c r="J2" s="58" t="s">
        <v>79</v>
      </c>
      <c r="K2" s="73">
        <v>34</v>
      </c>
      <c r="L2" s="73">
        <v>34</v>
      </c>
      <c r="M2" s="73">
        <v>21</v>
      </c>
      <c r="N2" s="73">
        <v>21</v>
      </c>
      <c r="O2" s="9">
        <f t="shared" ref="O2:Q3" si="0">L2/K2</f>
        <v>1</v>
      </c>
      <c r="P2" s="10">
        <f t="shared" si="0"/>
        <v>0.61764705882352944</v>
      </c>
      <c r="Q2" s="9">
        <f t="shared" si="0"/>
        <v>1</v>
      </c>
      <c r="R2" s="80" t="s">
        <v>101</v>
      </c>
    </row>
    <row r="3" spans="1:18" ht="15.9" x14ac:dyDescent="0.4">
      <c r="A3" s="79"/>
      <c r="B3" s="12" t="s">
        <v>11</v>
      </c>
      <c r="C3" s="8" t="s">
        <v>35</v>
      </c>
      <c r="D3" s="21"/>
      <c r="E3" s="21"/>
      <c r="F3" s="8" t="s">
        <v>17</v>
      </c>
      <c r="G3" s="7">
        <v>13</v>
      </c>
      <c r="H3" s="7" t="s">
        <v>75</v>
      </c>
      <c r="I3" s="8" t="s">
        <v>89</v>
      </c>
      <c r="J3" s="58" t="s">
        <v>78</v>
      </c>
      <c r="K3" s="73">
        <v>21</v>
      </c>
      <c r="L3" s="73">
        <v>21</v>
      </c>
      <c r="M3" s="73">
        <v>8</v>
      </c>
      <c r="N3" s="73">
        <v>8</v>
      </c>
      <c r="O3" s="9">
        <f t="shared" si="0"/>
        <v>1</v>
      </c>
      <c r="P3" s="10">
        <f t="shared" si="0"/>
        <v>0.38095238095238093</v>
      </c>
      <c r="Q3" s="9">
        <f t="shared" si="0"/>
        <v>1</v>
      </c>
      <c r="R3" s="80" t="s">
        <v>102</v>
      </c>
    </row>
    <row r="4" spans="1:18" ht="15.9" x14ac:dyDescent="0.4">
      <c r="A4" s="79"/>
      <c r="B4" s="12" t="s">
        <v>11</v>
      </c>
      <c r="C4" s="8" t="s">
        <v>35</v>
      </c>
      <c r="D4" s="21"/>
      <c r="E4" s="21"/>
      <c r="F4" s="8" t="s">
        <v>17</v>
      </c>
      <c r="G4" s="7">
        <v>13</v>
      </c>
      <c r="H4" s="7" t="s">
        <v>75</v>
      </c>
      <c r="I4" s="8" t="s">
        <v>90</v>
      </c>
      <c r="J4" s="58" t="s">
        <v>80</v>
      </c>
      <c r="K4" s="73">
        <v>48</v>
      </c>
      <c r="L4" s="73">
        <v>48</v>
      </c>
      <c r="M4" s="73">
        <v>10</v>
      </c>
      <c r="N4" s="73">
        <v>10</v>
      </c>
      <c r="O4" s="9">
        <f t="shared" ref="O4:O5" si="1">L4/K4</f>
        <v>1</v>
      </c>
      <c r="P4" s="10">
        <f t="shared" ref="P4:P5" si="2">M4/L4</f>
        <v>0.20833333333333334</v>
      </c>
      <c r="Q4" s="9">
        <f t="shared" ref="Q4:Q5" si="3">N4/M4</f>
        <v>1</v>
      </c>
      <c r="R4" s="80" t="s">
        <v>103</v>
      </c>
    </row>
    <row r="5" spans="1:18" ht="15.9" x14ac:dyDescent="0.4">
      <c r="A5" s="79"/>
      <c r="B5" s="12" t="s">
        <v>11</v>
      </c>
      <c r="C5" s="8" t="s">
        <v>35</v>
      </c>
      <c r="D5" s="21"/>
      <c r="E5" s="21"/>
      <c r="F5" s="8" t="s">
        <v>17</v>
      </c>
      <c r="G5" s="7">
        <v>13</v>
      </c>
      <c r="H5" s="7" t="s">
        <v>75</v>
      </c>
      <c r="I5" s="8" t="s">
        <v>91</v>
      </c>
      <c r="J5" s="58" t="s">
        <v>81</v>
      </c>
      <c r="K5" s="73">
        <v>38</v>
      </c>
      <c r="L5" s="73">
        <v>38</v>
      </c>
      <c r="M5" s="73">
        <v>22</v>
      </c>
      <c r="N5" s="73">
        <v>22</v>
      </c>
      <c r="O5" s="9">
        <f t="shared" si="1"/>
        <v>1</v>
      </c>
      <c r="P5" s="10">
        <f t="shared" si="2"/>
        <v>0.57894736842105265</v>
      </c>
      <c r="Q5" s="9">
        <f t="shared" si="3"/>
        <v>1</v>
      </c>
      <c r="R5" s="80" t="s">
        <v>104</v>
      </c>
    </row>
    <row r="6" spans="1:18" ht="15.9" x14ac:dyDescent="0.4">
      <c r="A6" s="80"/>
      <c r="B6" s="26" t="s">
        <v>37</v>
      </c>
      <c r="C6" s="68" t="s">
        <v>35</v>
      </c>
      <c r="D6" s="79"/>
      <c r="E6" s="79"/>
      <c r="F6" s="68" t="s">
        <v>15</v>
      </c>
      <c r="G6" s="73">
        <v>13</v>
      </c>
      <c r="H6" s="69" t="s">
        <v>75</v>
      </c>
      <c r="I6" s="68" t="s">
        <v>88</v>
      </c>
      <c r="J6" s="70" t="s">
        <v>82</v>
      </c>
      <c r="K6" s="86">
        <v>128</v>
      </c>
      <c r="L6" s="86">
        <v>70</v>
      </c>
      <c r="M6" s="86">
        <v>6</v>
      </c>
      <c r="N6" s="86">
        <v>6</v>
      </c>
      <c r="O6" s="71">
        <f t="shared" ref="O6:Q9" si="4">L6/K6</f>
        <v>0.546875</v>
      </c>
      <c r="P6" s="72">
        <f t="shared" si="4"/>
        <v>8.5714285714285715E-2</v>
      </c>
      <c r="Q6" s="71">
        <f t="shared" si="4"/>
        <v>1</v>
      </c>
      <c r="R6" s="80" t="s">
        <v>95</v>
      </c>
    </row>
    <row r="7" spans="1:18" ht="15.9" x14ac:dyDescent="0.4">
      <c r="A7" s="80"/>
      <c r="B7" s="26" t="s">
        <v>37</v>
      </c>
      <c r="C7" s="68" t="s">
        <v>35</v>
      </c>
      <c r="D7" s="79"/>
      <c r="E7" s="79"/>
      <c r="F7" s="68" t="s">
        <v>15</v>
      </c>
      <c r="G7" s="73">
        <v>13</v>
      </c>
      <c r="H7" s="69" t="s">
        <v>75</v>
      </c>
      <c r="I7" s="68" t="s">
        <v>89</v>
      </c>
      <c r="J7" s="70" t="s">
        <v>83</v>
      </c>
      <c r="K7" s="86">
        <v>110</v>
      </c>
      <c r="L7" s="86">
        <v>71</v>
      </c>
      <c r="M7" s="86">
        <v>4</v>
      </c>
      <c r="N7" s="86">
        <v>4</v>
      </c>
      <c r="O7" s="71">
        <f t="shared" si="4"/>
        <v>0.6454545454545455</v>
      </c>
      <c r="P7" s="72">
        <f t="shared" si="4"/>
        <v>5.6338028169014086E-2</v>
      </c>
      <c r="Q7" s="71">
        <f t="shared" si="4"/>
        <v>1</v>
      </c>
      <c r="R7" s="80" t="s">
        <v>96</v>
      </c>
    </row>
    <row r="8" spans="1:18" ht="15.9" x14ac:dyDescent="0.4">
      <c r="A8" s="80"/>
      <c r="B8" s="26" t="s">
        <v>37</v>
      </c>
      <c r="C8" s="68" t="s">
        <v>35</v>
      </c>
      <c r="D8" s="79"/>
      <c r="E8" s="79"/>
      <c r="F8" s="68" t="s">
        <v>15</v>
      </c>
      <c r="G8" s="73">
        <v>13</v>
      </c>
      <c r="H8" s="69" t="s">
        <v>75</v>
      </c>
      <c r="I8" s="68" t="s">
        <v>90</v>
      </c>
      <c r="J8" s="70" t="s">
        <v>84</v>
      </c>
      <c r="K8" s="86">
        <v>53</v>
      </c>
      <c r="L8" s="86">
        <v>37</v>
      </c>
      <c r="M8" s="86">
        <v>3</v>
      </c>
      <c r="N8" s="86">
        <v>3</v>
      </c>
      <c r="O8" s="71">
        <f t="shared" si="4"/>
        <v>0.69811320754716977</v>
      </c>
      <c r="P8" s="72">
        <f t="shared" si="4"/>
        <v>8.1081081081081086E-2</v>
      </c>
      <c r="Q8" s="71">
        <f t="shared" si="4"/>
        <v>1</v>
      </c>
      <c r="R8" s="80" t="s">
        <v>97</v>
      </c>
    </row>
    <row r="9" spans="1:18" ht="15.9" x14ac:dyDescent="0.4">
      <c r="A9" s="80"/>
      <c r="B9" s="26" t="s">
        <v>37</v>
      </c>
      <c r="C9" s="68" t="s">
        <v>35</v>
      </c>
      <c r="D9" s="79"/>
      <c r="E9" s="79"/>
      <c r="F9" s="68" t="s">
        <v>15</v>
      </c>
      <c r="G9" s="73">
        <v>13</v>
      </c>
      <c r="H9" s="69" t="s">
        <v>75</v>
      </c>
      <c r="I9" s="68" t="s">
        <v>91</v>
      </c>
      <c r="J9" s="70" t="s">
        <v>85</v>
      </c>
      <c r="K9" s="86">
        <v>75</v>
      </c>
      <c r="L9" s="86">
        <v>35</v>
      </c>
      <c r="M9" s="86">
        <v>22</v>
      </c>
      <c r="N9" s="86">
        <v>22</v>
      </c>
      <c r="O9" s="71">
        <f t="shared" si="4"/>
        <v>0.46666666666666667</v>
      </c>
      <c r="P9" s="72">
        <f t="shared" si="4"/>
        <v>0.62857142857142856</v>
      </c>
      <c r="Q9" s="71">
        <f t="shared" si="4"/>
        <v>1</v>
      </c>
      <c r="R9" s="80" t="s">
        <v>98</v>
      </c>
    </row>
    <row r="10" spans="1:18" ht="15.9" x14ac:dyDescent="0.4">
      <c r="A10" s="80"/>
      <c r="B10" s="26" t="s">
        <v>37</v>
      </c>
      <c r="C10" s="68" t="s">
        <v>35</v>
      </c>
      <c r="D10" s="79"/>
      <c r="E10" s="79"/>
      <c r="F10" s="68" t="s">
        <v>15</v>
      </c>
      <c r="G10" s="73">
        <v>13</v>
      </c>
      <c r="H10" s="69" t="s">
        <v>75</v>
      </c>
      <c r="I10" s="68" t="s">
        <v>92</v>
      </c>
      <c r="J10" s="70" t="s">
        <v>86</v>
      </c>
      <c r="K10" s="86">
        <v>52</v>
      </c>
      <c r="L10" s="86">
        <v>48</v>
      </c>
      <c r="M10" s="86">
        <v>5</v>
      </c>
      <c r="N10" s="86">
        <v>5</v>
      </c>
      <c r="O10" s="71">
        <f t="shared" ref="O10:O12" si="5">L10/K10</f>
        <v>0.92307692307692313</v>
      </c>
      <c r="P10" s="72">
        <f t="shared" ref="P10:P12" si="6">M10/L10</f>
        <v>0.10416666666666667</v>
      </c>
      <c r="Q10" s="71">
        <f t="shared" ref="Q10:Q12" si="7">N10/M10</f>
        <v>1</v>
      </c>
      <c r="R10" s="80" t="s">
        <v>99</v>
      </c>
    </row>
    <row r="11" spans="1:18" ht="15.9" x14ac:dyDescent="0.4">
      <c r="A11" s="80"/>
      <c r="B11" s="26" t="s">
        <v>37</v>
      </c>
      <c r="C11" s="68" t="s">
        <v>35</v>
      </c>
      <c r="D11" s="79"/>
      <c r="E11" s="79"/>
      <c r="F11" s="68" t="s">
        <v>15</v>
      </c>
      <c r="G11" s="73">
        <v>13</v>
      </c>
      <c r="H11" s="69" t="s">
        <v>75</v>
      </c>
      <c r="I11" s="68" t="s">
        <v>93</v>
      </c>
      <c r="J11" s="70" t="s">
        <v>87</v>
      </c>
      <c r="K11" s="86">
        <v>83</v>
      </c>
      <c r="L11" s="86">
        <v>26</v>
      </c>
      <c r="M11" s="86">
        <v>17</v>
      </c>
      <c r="N11" s="86">
        <v>14</v>
      </c>
      <c r="O11" s="71">
        <f t="shared" si="5"/>
        <v>0.31325301204819278</v>
      </c>
      <c r="P11" s="72">
        <f t="shared" si="6"/>
        <v>0.65384615384615385</v>
      </c>
      <c r="Q11" s="71">
        <f t="shared" si="7"/>
        <v>0.82352941176470584</v>
      </c>
      <c r="R11" s="80" t="s">
        <v>100</v>
      </c>
    </row>
    <row r="12" spans="1:18" s="85" customFormat="1" ht="131.15" x14ac:dyDescent="0.4">
      <c r="A12" s="73"/>
      <c r="B12" s="88" t="s">
        <v>135</v>
      </c>
      <c r="C12" s="7" t="s">
        <v>33</v>
      </c>
      <c r="D12" s="73"/>
      <c r="E12" s="73"/>
      <c r="F12" s="69" t="s">
        <v>15</v>
      </c>
      <c r="G12" s="73" t="s">
        <v>129</v>
      </c>
      <c r="H12" s="69" t="s">
        <v>75</v>
      </c>
      <c r="I12" s="91" t="s">
        <v>88</v>
      </c>
      <c r="J12" s="89" t="s">
        <v>132</v>
      </c>
      <c r="K12" s="86">
        <v>265</v>
      </c>
      <c r="L12" s="86">
        <v>265</v>
      </c>
      <c r="M12" s="86">
        <v>0</v>
      </c>
      <c r="N12" s="86">
        <v>0</v>
      </c>
      <c r="O12" s="71">
        <f t="shared" si="5"/>
        <v>1</v>
      </c>
      <c r="P12" s="72">
        <f t="shared" si="6"/>
        <v>0</v>
      </c>
      <c r="Q12" s="71" t="e">
        <f t="shared" si="7"/>
        <v>#DIV/0!</v>
      </c>
      <c r="R12" s="90" t="s">
        <v>143</v>
      </c>
    </row>
    <row r="13" spans="1:18" ht="15.9" x14ac:dyDescent="0.4">
      <c r="J13" s="66"/>
    </row>
    <row r="14" spans="1:18" ht="15.9" x14ac:dyDescent="0.4">
      <c r="J14" s="66"/>
    </row>
    <row r="15" spans="1:18" ht="15.9" x14ac:dyDescent="0.4">
      <c r="J15" s="66"/>
    </row>
    <row r="16" spans="1:18" ht="15.9" x14ac:dyDescent="0.4">
      <c r="J16" s="66"/>
    </row>
    <row r="17" spans="10:10" ht="15.9" x14ac:dyDescent="0.4">
      <c r="J17" s="66"/>
    </row>
    <row r="18" spans="10:10" ht="15.9" x14ac:dyDescent="0.4">
      <c r="J18" s="66"/>
    </row>
    <row r="19" spans="10:10" ht="15.9" x14ac:dyDescent="0.4">
      <c r="J19" s="66"/>
    </row>
    <row r="20" spans="10:10" ht="15.9" x14ac:dyDescent="0.4">
      <c r="J20" s="66"/>
    </row>
    <row r="21" spans="10:10" ht="15.9" x14ac:dyDescent="0.4">
      <c r="J21" s="66"/>
    </row>
    <row r="22" spans="10:10" ht="15.9" x14ac:dyDescent="0.4">
      <c r="J22" s="66"/>
    </row>
  </sheetData>
  <phoneticPr fontId="14" type="noConversion"/>
  <conditionalFormatting sqref="A1">
    <cfRule type="duplicateValues" dxfId="15" priority="9"/>
  </conditionalFormatting>
  <conditionalFormatting sqref="D2:E5">
    <cfRule type="expression" priority="163">
      <formula>MOD(D798:D1048380,2)&gt;0</formula>
    </cfRule>
    <cfRule type="expression" dxfId="14" priority="164">
      <formula xml:space="preserve"> MOD(D:D/2,1)&gt;0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5245-E9C4-45F6-A421-54FD8899A3DB}">
  <sheetPr>
    <tabColor theme="9" tint="0.59999389629810485"/>
  </sheetPr>
  <dimension ref="A1:Q36"/>
  <sheetViews>
    <sheetView topLeftCell="B1" workbookViewId="0">
      <pane xSplit="3" ySplit="1" topLeftCell="N2" activePane="bottomRight" state="frozen"/>
      <selection activeCell="G15" sqref="G15"/>
      <selection pane="topRight" activeCell="G15" sqref="G15"/>
      <selection pane="bottomLeft" activeCell="G15" sqref="G15"/>
      <selection pane="bottomRight" activeCell="O11" sqref="O11"/>
    </sheetView>
  </sheetViews>
  <sheetFormatPr defaultColWidth="9.15234375" defaultRowHeight="15.9" x14ac:dyDescent="0.45"/>
  <cols>
    <col min="1" max="1" width="9.15234375" style="13"/>
    <col min="2" max="2" width="14.23046875" style="13" bestFit="1" customWidth="1"/>
    <col min="3" max="3" width="43.53515625" style="15" bestFit="1" customWidth="1"/>
    <col min="4" max="4" width="19.15234375" style="15" bestFit="1" customWidth="1"/>
    <col min="5" max="5" width="14.15234375" style="16" bestFit="1" customWidth="1"/>
    <col min="6" max="6" width="13.4609375" style="16" bestFit="1" customWidth="1"/>
    <col min="7" max="7" width="39.3046875" style="23" bestFit="1" customWidth="1"/>
    <col min="8" max="8" width="19.69140625" style="17" bestFit="1" customWidth="1"/>
    <col min="9" max="9" width="16.53515625" style="17" bestFit="1" customWidth="1"/>
    <col min="10" max="10" width="19.3828125" style="17" bestFit="1" customWidth="1"/>
    <col min="11" max="11" width="25.07421875" style="17" bestFit="1" customWidth="1"/>
    <col min="12" max="12" width="11.3828125" style="17" bestFit="1" customWidth="1"/>
    <col min="13" max="13" width="16.3828125" style="17" bestFit="1" customWidth="1"/>
    <col min="14" max="14" width="28.53515625" style="17" bestFit="1" customWidth="1"/>
    <col min="15" max="15" width="18.84375" style="17" bestFit="1" customWidth="1"/>
    <col min="16" max="16" width="26.3828125" style="18" bestFit="1" customWidth="1"/>
    <col min="17" max="17" width="73.61328125" style="94" bestFit="1" customWidth="1"/>
    <col min="18" max="16384" width="9.15234375" style="13"/>
  </cols>
  <sheetData>
    <row r="1" spans="1:17" x14ac:dyDescent="0.45">
      <c r="B1" s="1" t="s">
        <v>0</v>
      </c>
      <c r="C1" s="1" t="s">
        <v>10</v>
      </c>
      <c r="D1" s="1" t="s">
        <v>9</v>
      </c>
      <c r="E1" s="2" t="s">
        <v>18</v>
      </c>
      <c r="F1" s="3" t="s">
        <v>19</v>
      </c>
      <c r="G1" s="22" t="s">
        <v>94</v>
      </c>
      <c r="H1" s="3" t="s">
        <v>12</v>
      </c>
      <c r="I1" s="4" t="s">
        <v>73</v>
      </c>
      <c r="J1" s="4" t="s">
        <v>1</v>
      </c>
      <c r="K1" s="4" t="s">
        <v>2</v>
      </c>
      <c r="L1" s="4" t="s">
        <v>3</v>
      </c>
      <c r="M1" s="4" t="s">
        <v>4</v>
      </c>
      <c r="N1" s="5" t="s">
        <v>5</v>
      </c>
      <c r="O1" s="5" t="s">
        <v>6</v>
      </c>
      <c r="P1" s="6" t="s">
        <v>7</v>
      </c>
      <c r="Q1" s="93" t="s">
        <v>8</v>
      </c>
    </row>
    <row r="2" spans="1:17" x14ac:dyDescent="0.45">
      <c r="B2" s="7"/>
      <c r="C2" s="12" t="s">
        <v>133</v>
      </c>
      <c r="D2" s="8" t="s">
        <v>34</v>
      </c>
      <c r="E2" s="21">
        <v>45658</v>
      </c>
      <c r="F2" s="21">
        <v>45900</v>
      </c>
      <c r="G2" s="8" t="s">
        <v>13</v>
      </c>
      <c r="H2" s="20">
        <v>3</v>
      </c>
      <c r="I2" s="11" t="s">
        <v>74</v>
      </c>
      <c r="J2" s="11">
        <v>8</v>
      </c>
      <c r="K2" s="11">
        <v>7</v>
      </c>
      <c r="L2" s="11">
        <v>0</v>
      </c>
      <c r="M2" s="11">
        <v>0</v>
      </c>
      <c r="N2" s="9">
        <f t="shared" ref="N2:P5" si="0">K2/J2</f>
        <v>0.875</v>
      </c>
      <c r="O2" s="10">
        <f t="shared" si="0"/>
        <v>0</v>
      </c>
      <c r="P2" s="9" t="e">
        <f>M2/L2</f>
        <v>#DIV/0!</v>
      </c>
      <c r="Q2" s="68" t="s">
        <v>30</v>
      </c>
    </row>
    <row r="3" spans="1:17" x14ac:dyDescent="0.45">
      <c r="B3" s="7"/>
      <c r="C3" s="12" t="s">
        <v>136</v>
      </c>
      <c r="D3" s="8" t="s">
        <v>33</v>
      </c>
      <c r="E3" s="21">
        <v>45658</v>
      </c>
      <c r="F3" s="21">
        <v>46022</v>
      </c>
      <c r="G3" s="8" t="s">
        <v>21</v>
      </c>
      <c r="H3" s="20">
        <v>11</v>
      </c>
      <c r="I3" s="11" t="s">
        <v>74</v>
      </c>
      <c r="J3" s="7">
        <v>0</v>
      </c>
      <c r="K3" s="7">
        <v>0</v>
      </c>
      <c r="L3" s="7">
        <v>0</v>
      </c>
      <c r="M3" s="7">
        <v>0</v>
      </c>
      <c r="N3" s="24" t="e">
        <f t="shared" si="0"/>
        <v>#DIV/0!</v>
      </c>
      <c r="O3" s="25" t="e">
        <f t="shared" si="0"/>
        <v>#DIV/0!</v>
      </c>
      <c r="P3" s="24" t="e">
        <f t="shared" si="0"/>
        <v>#DIV/0!</v>
      </c>
      <c r="Q3" s="68" t="s">
        <v>138</v>
      </c>
    </row>
    <row r="4" spans="1:17" x14ac:dyDescent="0.45">
      <c r="A4" s="14"/>
      <c r="B4" s="7"/>
      <c r="C4" s="12" t="s">
        <v>137</v>
      </c>
      <c r="D4" s="8" t="s">
        <v>33</v>
      </c>
      <c r="E4" s="21">
        <v>45658</v>
      </c>
      <c r="F4" s="21">
        <v>45838</v>
      </c>
      <c r="G4" s="8" t="s">
        <v>20</v>
      </c>
      <c r="H4" s="20">
        <v>39</v>
      </c>
      <c r="I4" s="11" t="s">
        <v>74</v>
      </c>
      <c r="J4" s="7">
        <v>2</v>
      </c>
      <c r="K4" s="7">
        <v>2</v>
      </c>
      <c r="L4" s="7">
        <v>0</v>
      </c>
      <c r="M4" s="7">
        <v>0</v>
      </c>
      <c r="N4" s="9">
        <f t="shared" si="0"/>
        <v>1</v>
      </c>
      <c r="O4" s="10">
        <f t="shared" si="0"/>
        <v>0</v>
      </c>
      <c r="P4" s="9" t="e">
        <f t="shared" si="0"/>
        <v>#DIV/0!</v>
      </c>
      <c r="Q4" s="68" t="s">
        <v>32</v>
      </c>
    </row>
    <row r="5" spans="1:17" x14ac:dyDescent="0.45">
      <c r="B5" s="7"/>
      <c r="C5" s="12" t="s">
        <v>139</v>
      </c>
      <c r="D5" s="8" t="s">
        <v>33</v>
      </c>
      <c r="E5" s="21">
        <v>45658</v>
      </c>
      <c r="F5" s="21">
        <v>46022</v>
      </c>
      <c r="G5" s="8" t="s">
        <v>15</v>
      </c>
      <c r="H5" s="20">
        <v>16</v>
      </c>
      <c r="I5" s="11" t="s">
        <v>74</v>
      </c>
      <c r="J5" s="7">
        <v>14</v>
      </c>
      <c r="K5" s="7">
        <v>14</v>
      </c>
      <c r="L5" s="7">
        <v>0</v>
      </c>
      <c r="M5" s="7">
        <v>0</v>
      </c>
      <c r="N5" s="9">
        <f t="shared" si="0"/>
        <v>1</v>
      </c>
      <c r="O5" s="10">
        <f t="shared" si="0"/>
        <v>0</v>
      </c>
      <c r="P5" s="9" t="e">
        <f t="shared" si="0"/>
        <v>#DIV/0!</v>
      </c>
      <c r="Q5" s="68" t="s">
        <v>36</v>
      </c>
    </row>
    <row r="6" spans="1:17" x14ac:dyDescent="0.45">
      <c r="L6" s="19"/>
    </row>
    <row r="7" spans="1:17" x14ac:dyDescent="0.45">
      <c r="L7" s="19"/>
    </row>
    <row r="8" spans="1:17" x14ac:dyDescent="0.45">
      <c r="L8" s="19"/>
    </row>
    <row r="9" spans="1:17" x14ac:dyDescent="0.45">
      <c r="L9" s="19"/>
    </row>
    <row r="10" spans="1:17" x14ac:dyDescent="0.45">
      <c r="L10" s="19"/>
    </row>
    <row r="11" spans="1:17" x14ac:dyDescent="0.45">
      <c r="L11" s="19"/>
    </row>
    <row r="12" spans="1:17" x14ac:dyDescent="0.45">
      <c r="L12" s="19"/>
    </row>
    <row r="13" spans="1:17" x14ac:dyDescent="0.45">
      <c r="L13" s="19"/>
    </row>
    <row r="14" spans="1:17" x14ac:dyDescent="0.45">
      <c r="L14" s="19"/>
    </row>
    <row r="15" spans="1:17" x14ac:dyDescent="0.45">
      <c r="L15" s="19"/>
    </row>
    <row r="16" spans="1:17" x14ac:dyDescent="0.45">
      <c r="L16" s="19"/>
    </row>
    <row r="17" spans="11:13" x14ac:dyDescent="0.45">
      <c r="L17" s="19"/>
    </row>
    <row r="18" spans="11:13" x14ac:dyDescent="0.45">
      <c r="M18" s="19"/>
    </row>
    <row r="19" spans="11:13" x14ac:dyDescent="0.45">
      <c r="K19" s="53"/>
      <c r="M19" s="19"/>
    </row>
    <row r="20" spans="11:13" x14ac:dyDescent="0.45">
      <c r="K20" s="53"/>
      <c r="M20" s="19"/>
    </row>
    <row r="21" spans="11:13" x14ac:dyDescent="0.45">
      <c r="K21" s="53"/>
      <c r="M21" s="19"/>
    </row>
    <row r="22" spans="11:13" x14ac:dyDescent="0.45">
      <c r="K22" s="53"/>
      <c r="M22" s="19"/>
    </row>
    <row r="23" spans="11:13" x14ac:dyDescent="0.45">
      <c r="K23" s="53"/>
    </row>
    <row r="24" spans="11:13" x14ac:dyDescent="0.45">
      <c r="K24" s="53"/>
      <c r="M24" s="19"/>
    </row>
    <row r="25" spans="11:13" x14ac:dyDescent="0.45">
      <c r="L25" s="19"/>
    </row>
    <row r="26" spans="11:13" x14ac:dyDescent="0.45">
      <c r="L26" s="19"/>
    </row>
    <row r="27" spans="11:13" x14ac:dyDescent="0.45">
      <c r="L27" s="19"/>
    </row>
    <row r="28" spans="11:13" x14ac:dyDescent="0.45">
      <c r="L28" s="19"/>
    </row>
    <row r="29" spans="11:13" x14ac:dyDescent="0.45">
      <c r="L29" s="19"/>
    </row>
    <row r="30" spans="11:13" x14ac:dyDescent="0.45">
      <c r="L30" s="19"/>
    </row>
    <row r="31" spans="11:13" x14ac:dyDescent="0.45">
      <c r="L31" s="19"/>
    </row>
    <row r="32" spans="11:13" x14ac:dyDescent="0.45">
      <c r="L32" s="19"/>
    </row>
    <row r="33" spans="12:12" x14ac:dyDescent="0.45">
      <c r="L33" s="19"/>
    </row>
    <row r="34" spans="12:12" x14ac:dyDescent="0.45">
      <c r="L34" s="19"/>
    </row>
    <row r="35" spans="12:12" x14ac:dyDescent="0.45">
      <c r="L35" s="19"/>
    </row>
    <row r="36" spans="12:12" x14ac:dyDescent="0.45">
      <c r="L36" s="19"/>
    </row>
  </sheetData>
  <autoFilter ref="A1:Q1" xr:uid="{A0499EC0-9336-4A43-84AD-C0713E773EA7}"/>
  <conditionalFormatting sqref="B1:B1048576">
    <cfRule type="duplicateValues" dxfId="13" priority="6"/>
  </conditionalFormatting>
  <conditionalFormatting sqref="E2:F2">
    <cfRule type="expression" priority="109">
      <formula>MOD(E812:E1048394,2)&gt;0</formula>
    </cfRule>
  </conditionalFormatting>
  <conditionalFormatting sqref="E2:F5">
    <cfRule type="expression" dxfId="12" priority="11">
      <formula xml:space="preserve"> MOD(E:E/2,1)&gt;0</formula>
    </cfRule>
  </conditionalFormatting>
  <conditionalFormatting sqref="E3:F4">
    <cfRule type="expression" priority="120">
      <formula>MOD(E814:E1048396,2)&gt;0</formula>
    </cfRule>
  </conditionalFormatting>
  <conditionalFormatting sqref="E5:F5">
    <cfRule type="expression" priority="9">
      <formula>MOD(E818:E1048400,2)&gt;0</formula>
    </cfRule>
    <cfRule type="expression" priority="10">
      <formula>MOD(E817:E1048399,2)&gt;0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73F2-D0CE-4AC4-ACE0-06614F8B7EA7}">
  <sheetPr>
    <tabColor theme="9" tint="0.59999389629810485"/>
  </sheetPr>
  <dimension ref="A1:Q37"/>
  <sheetViews>
    <sheetView topLeftCell="B1" workbookViewId="0">
      <pane xSplit="3" ySplit="1" topLeftCell="N2" activePane="bottomRight" state="frozen"/>
      <selection activeCell="C25" sqref="C25"/>
      <selection pane="topRight" activeCell="C25" sqref="C25"/>
      <selection pane="bottomLeft" activeCell="C25" sqref="C25"/>
      <selection pane="bottomRight" activeCell="C9" sqref="C9"/>
    </sheetView>
  </sheetViews>
  <sheetFormatPr defaultColWidth="9.15234375" defaultRowHeight="15.9" x14ac:dyDescent="0.45"/>
  <cols>
    <col min="1" max="1" width="9.15234375" style="13"/>
    <col min="2" max="2" width="14.23046875" style="13" bestFit="1" customWidth="1"/>
    <col min="3" max="3" width="43.53515625" style="15" bestFit="1" customWidth="1"/>
    <col min="4" max="4" width="19.15234375" style="15" bestFit="1" customWidth="1"/>
    <col min="5" max="5" width="14.15234375" style="16" bestFit="1" customWidth="1"/>
    <col min="6" max="6" width="13.4609375" style="16" bestFit="1" customWidth="1"/>
    <col min="7" max="7" width="39.3046875" style="23" bestFit="1" customWidth="1"/>
    <col min="8" max="8" width="19.69140625" style="17" bestFit="1" customWidth="1"/>
    <col min="9" max="9" width="16.53515625" style="17" bestFit="1" customWidth="1"/>
    <col min="10" max="10" width="19.3828125" style="17" bestFit="1" customWidth="1"/>
    <col min="11" max="11" width="25.07421875" style="17" bestFit="1" customWidth="1"/>
    <col min="12" max="12" width="11.3828125" style="17" bestFit="1" customWidth="1"/>
    <col min="13" max="13" width="16.3828125" style="17" bestFit="1" customWidth="1"/>
    <col min="14" max="14" width="28.53515625" style="17" bestFit="1" customWidth="1"/>
    <col min="15" max="15" width="18.84375" style="17" bestFit="1" customWidth="1"/>
    <col min="16" max="16" width="26.3828125" style="18" bestFit="1" customWidth="1"/>
    <col min="17" max="17" width="74.84375" style="65" bestFit="1" customWidth="1"/>
    <col min="18" max="16384" width="9.15234375" style="13"/>
  </cols>
  <sheetData>
    <row r="1" spans="1:17" x14ac:dyDescent="0.45">
      <c r="B1" s="1" t="s">
        <v>0</v>
      </c>
      <c r="C1" s="1" t="s">
        <v>10</v>
      </c>
      <c r="D1" s="1" t="s">
        <v>9</v>
      </c>
      <c r="E1" s="2" t="s">
        <v>18</v>
      </c>
      <c r="F1" s="3" t="s">
        <v>19</v>
      </c>
      <c r="G1" s="22" t="s">
        <v>94</v>
      </c>
      <c r="H1" s="3" t="s">
        <v>12</v>
      </c>
      <c r="I1" s="4" t="s">
        <v>73</v>
      </c>
      <c r="J1" s="4" t="s">
        <v>1</v>
      </c>
      <c r="K1" s="4" t="s">
        <v>2</v>
      </c>
      <c r="L1" s="4" t="s">
        <v>3</v>
      </c>
      <c r="M1" s="4" t="s">
        <v>4</v>
      </c>
      <c r="N1" s="5" t="s">
        <v>5</v>
      </c>
      <c r="O1" s="5" t="s">
        <v>6</v>
      </c>
      <c r="P1" s="6" t="s">
        <v>7</v>
      </c>
      <c r="Q1" s="64" t="s">
        <v>8</v>
      </c>
    </row>
    <row r="2" spans="1:17" x14ac:dyDescent="0.45">
      <c r="B2" s="7"/>
      <c r="C2" s="12" t="s">
        <v>133</v>
      </c>
      <c r="D2" s="8" t="s">
        <v>34</v>
      </c>
      <c r="E2" s="21">
        <v>45658</v>
      </c>
      <c r="F2" s="21">
        <v>45900</v>
      </c>
      <c r="G2" s="8" t="s">
        <v>13</v>
      </c>
      <c r="H2" s="20">
        <v>3</v>
      </c>
      <c r="I2" s="11" t="s">
        <v>74</v>
      </c>
      <c r="J2" s="11">
        <v>8</v>
      </c>
      <c r="K2" s="11">
        <v>7</v>
      </c>
      <c r="L2" s="11">
        <v>0</v>
      </c>
      <c r="M2" s="11">
        <v>0</v>
      </c>
      <c r="N2" s="9">
        <f t="shared" ref="N2:P5" si="0">K2/J2</f>
        <v>0.875</v>
      </c>
      <c r="O2" s="10">
        <f t="shared" si="0"/>
        <v>0</v>
      </c>
      <c r="P2" s="9" t="e">
        <f>M2/L2</f>
        <v>#DIV/0!</v>
      </c>
      <c r="Q2" s="26" t="s">
        <v>30</v>
      </c>
    </row>
    <row r="3" spans="1:17" x14ac:dyDescent="0.45">
      <c r="B3" s="7"/>
      <c r="C3" s="12" t="s">
        <v>136</v>
      </c>
      <c r="D3" s="8" t="s">
        <v>33</v>
      </c>
      <c r="E3" s="21">
        <v>45658</v>
      </c>
      <c r="F3" s="21">
        <v>46022</v>
      </c>
      <c r="G3" s="8" t="s">
        <v>21</v>
      </c>
      <c r="H3" s="20">
        <v>11</v>
      </c>
      <c r="I3" s="11" t="s">
        <v>74</v>
      </c>
      <c r="J3" s="7">
        <v>4</v>
      </c>
      <c r="K3" s="7">
        <v>4</v>
      </c>
      <c r="L3" s="7">
        <v>0</v>
      </c>
      <c r="M3" s="7">
        <v>0</v>
      </c>
      <c r="N3" s="9">
        <f t="shared" si="0"/>
        <v>1</v>
      </c>
      <c r="O3" s="10">
        <f t="shared" si="0"/>
        <v>0</v>
      </c>
      <c r="P3" s="9" t="e">
        <f t="shared" si="0"/>
        <v>#DIV/0!</v>
      </c>
      <c r="Q3" s="26" t="s">
        <v>31</v>
      </c>
    </row>
    <row r="4" spans="1:17" x14ac:dyDescent="0.45">
      <c r="A4" s="14"/>
      <c r="B4" s="7"/>
      <c r="C4" s="12" t="s">
        <v>137</v>
      </c>
      <c r="D4" s="8" t="s">
        <v>33</v>
      </c>
      <c r="E4" s="21">
        <v>45658</v>
      </c>
      <c r="F4" s="21">
        <v>45838</v>
      </c>
      <c r="G4" s="8" t="s">
        <v>20</v>
      </c>
      <c r="H4" s="20">
        <v>39</v>
      </c>
      <c r="I4" s="11" t="s">
        <v>74</v>
      </c>
      <c r="J4" s="7">
        <v>24</v>
      </c>
      <c r="K4" s="7">
        <v>24</v>
      </c>
      <c r="L4" s="7">
        <v>0</v>
      </c>
      <c r="M4" s="7">
        <v>0</v>
      </c>
      <c r="N4" s="9">
        <f t="shared" si="0"/>
        <v>1</v>
      </c>
      <c r="O4" s="10">
        <f t="shared" si="0"/>
        <v>0</v>
      </c>
      <c r="P4" s="9" t="e">
        <f t="shared" si="0"/>
        <v>#DIV/0!</v>
      </c>
      <c r="Q4" s="26" t="s">
        <v>61</v>
      </c>
    </row>
    <row r="5" spans="1:17" x14ac:dyDescent="0.45">
      <c r="B5" s="7"/>
      <c r="C5" s="12" t="s">
        <v>139</v>
      </c>
      <c r="D5" s="8" t="s">
        <v>33</v>
      </c>
      <c r="E5" s="21">
        <v>45658</v>
      </c>
      <c r="F5" s="21">
        <v>46022</v>
      </c>
      <c r="G5" s="8" t="s">
        <v>15</v>
      </c>
      <c r="H5" s="20">
        <v>16</v>
      </c>
      <c r="I5" s="11" t="s">
        <v>74</v>
      </c>
      <c r="J5" s="7">
        <v>69</v>
      </c>
      <c r="K5" s="7">
        <v>69</v>
      </c>
      <c r="L5" s="7">
        <v>0</v>
      </c>
      <c r="M5" s="7">
        <v>0</v>
      </c>
      <c r="N5" s="9">
        <f t="shared" si="0"/>
        <v>1</v>
      </c>
      <c r="O5" s="10">
        <f t="shared" si="0"/>
        <v>0</v>
      </c>
      <c r="P5" s="9" t="e">
        <f t="shared" si="0"/>
        <v>#DIV/0!</v>
      </c>
      <c r="Q5" s="26" t="s">
        <v>64</v>
      </c>
    </row>
    <row r="6" spans="1:17" x14ac:dyDescent="0.45">
      <c r="L6" s="19"/>
    </row>
    <row r="7" spans="1:17" x14ac:dyDescent="0.45">
      <c r="L7" s="19"/>
    </row>
    <row r="8" spans="1:17" x14ac:dyDescent="0.45">
      <c r="L8" s="19"/>
    </row>
    <row r="9" spans="1:17" x14ac:dyDescent="0.45">
      <c r="L9" s="19"/>
    </row>
    <row r="10" spans="1:17" x14ac:dyDescent="0.45">
      <c r="L10" s="19"/>
    </row>
    <row r="11" spans="1:17" x14ac:dyDescent="0.45">
      <c r="L11" s="19"/>
    </row>
    <row r="12" spans="1:17" x14ac:dyDescent="0.45">
      <c r="L12" s="19"/>
    </row>
    <row r="13" spans="1:17" x14ac:dyDescent="0.45">
      <c r="L13" s="19"/>
    </row>
    <row r="14" spans="1:17" x14ac:dyDescent="0.45">
      <c r="L14" s="19"/>
    </row>
    <row r="15" spans="1:17" x14ac:dyDescent="0.45">
      <c r="L15" s="19"/>
    </row>
    <row r="16" spans="1:17" x14ac:dyDescent="0.45">
      <c r="L16" s="19"/>
    </row>
    <row r="17" spans="11:13" x14ac:dyDescent="0.45">
      <c r="L17" s="19"/>
    </row>
    <row r="18" spans="11:13" x14ac:dyDescent="0.45">
      <c r="M18" s="19"/>
    </row>
    <row r="19" spans="11:13" x14ac:dyDescent="0.45">
      <c r="K19" s="53"/>
      <c r="M19" s="19"/>
    </row>
    <row r="20" spans="11:13" x14ac:dyDescent="0.45">
      <c r="K20" s="53"/>
      <c r="M20" s="19"/>
    </row>
    <row r="21" spans="11:13" x14ac:dyDescent="0.45">
      <c r="K21" s="53"/>
      <c r="M21" s="19"/>
    </row>
    <row r="22" spans="11:13" x14ac:dyDescent="0.45">
      <c r="K22" s="53"/>
      <c r="M22" s="19"/>
    </row>
    <row r="23" spans="11:13" x14ac:dyDescent="0.45">
      <c r="K23" s="53"/>
    </row>
    <row r="24" spans="11:13" x14ac:dyDescent="0.45">
      <c r="K24" s="53"/>
      <c r="M24" s="19"/>
    </row>
    <row r="25" spans="11:13" x14ac:dyDescent="0.45">
      <c r="L25" s="19"/>
    </row>
    <row r="26" spans="11:13" x14ac:dyDescent="0.45">
      <c r="L26" s="19"/>
    </row>
    <row r="27" spans="11:13" x14ac:dyDescent="0.45">
      <c r="L27" s="19"/>
    </row>
    <row r="28" spans="11:13" x14ac:dyDescent="0.45">
      <c r="L28" s="19"/>
    </row>
    <row r="29" spans="11:13" x14ac:dyDescent="0.45">
      <c r="L29" s="19"/>
    </row>
    <row r="30" spans="11:13" x14ac:dyDescent="0.45">
      <c r="L30" s="19"/>
    </row>
    <row r="31" spans="11:13" x14ac:dyDescent="0.45">
      <c r="L31" s="19"/>
    </row>
    <row r="32" spans="11:13" x14ac:dyDescent="0.45">
      <c r="L32" s="19"/>
    </row>
    <row r="33" spans="12:12" x14ac:dyDescent="0.45">
      <c r="L33" s="19"/>
    </row>
    <row r="34" spans="12:12" x14ac:dyDescent="0.45">
      <c r="L34" s="19"/>
    </row>
    <row r="35" spans="12:12" x14ac:dyDescent="0.45">
      <c r="L35" s="19"/>
    </row>
    <row r="36" spans="12:12" x14ac:dyDescent="0.45">
      <c r="L36" s="19"/>
    </row>
    <row r="37" spans="12:12" x14ac:dyDescent="0.45">
      <c r="L37" s="19"/>
    </row>
  </sheetData>
  <autoFilter ref="A1:Q1" xr:uid="{A0499EC0-9336-4A43-84AD-C0713E773EA7}"/>
  <conditionalFormatting sqref="B1:B1048576">
    <cfRule type="duplicateValues" dxfId="11" priority="6"/>
  </conditionalFormatting>
  <conditionalFormatting sqref="E2:F2">
    <cfRule type="expression" priority="7">
      <formula>MOD(E813:E1048395,2)&gt;0</formula>
    </cfRule>
  </conditionalFormatting>
  <conditionalFormatting sqref="E2:F5">
    <cfRule type="expression" dxfId="10" priority="11">
      <formula xml:space="preserve"> MOD(E:E/2,1)&gt;0</formula>
    </cfRule>
  </conditionalFormatting>
  <conditionalFormatting sqref="E3:F4">
    <cfRule type="expression" priority="126">
      <formula>MOD(E815:E1048397,2)&gt;0</formula>
    </cfRule>
  </conditionalFormatting>
  <conditionalFormatting sqref="E5:F5">
    <cfRule type="expression" priority="8">
      <formula>MOD(E818:E1048400,2)&gt;0</formula>
    </cfRule>
    <cfRule type="expression" priority="9">
      <formula>MOD(E819:E1048401,2)&gt;0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599D-C226-4AFB-8393-BA70D351B771}">
  <sheetPr>
    <tabColor theme="9" tint="0.59999389629810485"/>
  </sheetPr>
  <dimension ref="A1:Q21"/>
  <sheetViews>
    <sheetView topLeftCell="B1" workbookViewId="0">
      <pane xSplit="3" ySplit="1" topLeftCell="P2" activePane="bottomRight" state="frozen"/>
      <selection activeCell="C25" sqref="C25"/>
      <selection pane="topRight" activeCell="C25" sqref="C25"/>
      <selection pane="bottomLeft" activeCell="C25" sqref="C25"/>
      <selection pane="bottomRight" activeCell="P11" sqref="P11"/>
    </sheetView>
  </sheetViews>
  <sheetFormatPr defaultColWidth="9.15234375" defaultRowHeight="15.9" x14ac:dyDescent="0.45"/>
  <cols>
    <col min="1" max="1" width="9.15234375" style="13"/>
    <col min="2" max="2" width="14.23046875" style="13" bestFit="1" customWidth="1"/>
    <col min="3" max="3" width="43.53515625" style="15" bestFit="1" customWidth="1"/>
    <col min="4" max="4" width="19.15234375" style="15" bestFit="1" customWidth="1"/>
    <col min="5" max="5" width="14.15234375" style="16" bestFit="1" customWidth="1"/>
    <col min="6" max="6" width="13.4609375" style="16" bestFit="1" customWidth="1"/>
    <col min="7" max="7" width="39.3046875" style="23" bestFit="1" customWidth="1"/>
    <col min="8" max="8" width="19.69140625" style="17" bestFit="1" customWidth="1"/>
    <col min="9" max="9" width="16.53515625" style="17" bestFit="1" customWidth="1"/>
    <col min="10" max="10" width="19.3828125" style="17" bestFit="1" customWidth="1"/>
    <col min="11" max="11" width="25.07421875" style="17" bestFit="1" customWidth="1"/>
    <col min="12" max="12" width="11.3828125" style="17" bestFit="1" customWidth="1"/>
    <col min="13" max="13" width="16.3828125" style="17" bestFit="1" customWidth="1"/>
    <col min="14" max="14" width="28.53515625" style="17" bestFit="1" customWidth="1"/>
    <col min="15" max="15" width="18.84375" style="17" bestFit="1" customWidth="1"/>
    <col min="16" max="16" width="26.3828125" style="18" bestFit="1" customWidth="1"/>
    <col min="17" max="17" width="88.921875" style="65" bestFit="1" customWidth="1"/>
    <col min="18" max="16384" width="9.15234375" style="13"/>
  </cols>
  <sheetData>
    <row r="1" spans="1:17" x14ac:dyDescent="0.45">
      <c r="B1" s="1" t="s">
        <v>0</v>
      </c>
      <c r="C1" s="1" t="s">
        <v>10</v>
      </c>
      <c r="D1" s="1" t="s">
        <v>9</v>
      </c>
      <c r="E1" s="2" t="s">
        <v>18</v>
      </c>
      <c r="F1" s="3" t="s">
        <v>19</v>
      </c>
      <c r="G1" s="22" t="s">
        <v>94</v>
      </c>
      <c r="H1" s="3" t="s">
        <v>12</v>
      </c>
      <c r="I1" s="4" t="s">
        <v>73</v>
      </c>
      <c r="J1" s="4" t="s">
        <v>1</v>
      </c>
      <c r="K1" s="4" t="s">
        <v>2</v>
      </c>
      <c r="L1" s="4" t="s">
        <v>3</v>
      </c>
      <c r="M1" s="4" t="s">
        <v>4</v>
      </c>
      <c r="N1" s="5" t="s">
        <v>5</v>
      </c>
      <c r="O1" s="5" t="s">
        <v>6</v>
      </c>
      <c r="P1" s="6" t="s">
        <v>7</v>
      </c>
      <c r="Q1" s="64" t="s">
        <v>8</v>
      </c>
    </row>
    <row r="2" spans="1:17" x14ac:dyDescent="0.45">
      <c r="B2" s="7"/>
      <c r="C2" s="12" t="s">
        <v>133</v>
      </c>
      <c r="D2" s="8" t="s">
        <v>34</v>
      </c>
      <c r="E2" s="21">
        <v>45658</v>
      </c>
      <c r="F2" s="21">
        <v>45900</v>
      </c>
      <c r="G2" s="8" t="s">
        <v>13</v>
      </c>
      <c r="H2" s="20">
        <v>3</v>
      </c>
      <c r="I2" s="11" t="s">
        <v>74</v>
      </c>
      <c r="J2" s="11">
        <v>6</v>
      </c>
      <c r="K2" s="11">
        <v>5</v>
      </c>
      <c r="L2" s="11">
        <v>0</v>
      </c>
      <c r="M2" s="11">
        <v>0</v>
      </c>
      <c r="N2" s="9">
        <f t="shared" ref="N2:N5" si="0">K2/J2</f>
        <v>0.83333333333333337</v>
      </c>
      <c r="O2" s="10">
        <f t="shared" ref="O2:P5" si="1">L2/K2</f>
        <v>0</v>
      </c>
      <c r="P2" s="9" t="e">
        <f>M2/L2</f>
        <v>#DIV/0!</v>
      </c>
      <c r="Q2" s="26" t="s">
        <v>29</v>
      </c>
    </row>
    <row r="3" spans="1:17" x14ac:dyDescent="0.45">
      <c r="B3" s="7"/>
      <c r="C3" s="12" t="s">
        <v>136</v>
      </c>
      <c r="D3" s="8" t="s">
        <v>33</v>
      </c>
      <c r="E3" s="21">
        <v>45658</v>
      </c>
      <c r="F3" s="21">
        <v>46022</v>
      </c>
      <c r="G3" s="8" t="s">
        <v>21</v>
      </c>
      <c r="H3" s="20">
        <v>11</v>
      </c>
      <c r="I3" s="11" t="s">
        <v>74</v>
      </c>
      <c r="J3" s="11">
        <v>30</v>
      </c>
      <c r="K3" s="7">
        <v>30</v>
      </c>
      <c r="L3" s="7">
        <v>0</v>
      </c>
      <c r="M3" s="7">
        <v>0</v>
      </c>
      <c r="N3" s="9">
        <f t="shared" si="0"/>
        <v>1</v>
      </c>
      <c r="O3" s="10">
        <f t="shared" si="1"/>
        <v>0</v>
      </c>
      <c r="P3" s="9" t="e">
        <f t="shared" si="1"/>
        <v>#DIV/0!</v>
      </c>
      <c r="Q3" s="26" t="s">
        <v>65</v>
      </c>
    </row>
    <row r="4" spans="1:17" ht="63.45" x14ac:dyDescent="0.45">
      <c r="A4" s="14"/>
      <c r="B4" s="7"/>
      <c r="C4" s="12" t="s">
        <v>137</v>
      </c>
      <c r="D4" s="8" t="s">
        <v>33</v>
      </c>
      <c r="E4" s="21">
        <v>45658</v>
      </c>
      <c r="F4" s="21">
        <v>45838</v>
      </c>
      <c r="G4" s="8" t="s">
        <v>20</v>
      </c>
      <c r="H4" s="20">
        <v>39</v>
      </c>
      <c r="I4" s="11" t="s">
        <v>74</v>
      </c>
      <c r="J4" s="11">
        <v>105</v>
      </c>
      <c r="K4" s="7">
        <v>99</v>
      </c>
      <c r="L4" s="7">
        <v>0</v>
      </c>
      <c r="M4" s="7">
        <v>0</v>
      </c>
      <c r="N4" s="9">
        <f t="shared" si="0"/>
        <v>0.94285714285714284</v>
      </c>
      <c r="O4" s="10">
        <f t="shared" si="1"/>
        <v>0</v>
      </c>
      <c r="P4" s="9" t="e">
        <f t="shared" si="1"/>
        <v>#DIV/0!</v>
      </c>
      <c r="Q4" s="26" t="s">
        <v>59</v>
      </c>
    </row>
    <row r="5" spans="1:17" x14ac:dyDescent="0.45">
      <c r="B5" s="7"/>
      <c r="C5" s="12" t="s">
        <v>139</v>
      </c>
      <c r="D5" s="8" t="s">
        <v>33</v>
      </c>
      <c r="E5" s="21">
        <v>45658</v>
      </c>
      <c r="F5" s="21">
        <v>46022</v>
      </c>
      <c r="G5" s="8" t="s">
        <v>15</v>
      </c>
      <c r="H5" s="20">
        <v>16</v>
      </c>
      <c r="I5" s="11" t="s">
        <v>74</v>
      </c>
      <c r="J5" s="11">
        <v>32</v>
      </c>
      <c r="K5" s="7">
        <v>31</v>
      </c>
      <c r="L5" s="7">
        <v>0</v>
      </c>
      <c r="M5" s="7">
        <v>0</v>
      </c>
      <c r="N5" s="9">
        <f t="shared" si="0"/>
        <v>0.96875</v>
      </c>
      <c r="O5" s="10">
        <f t="shared" si="1"/>
        <v>0</v>
      </c>
      <c r="P5" s="9" t="e">
        <f t="shared" si="1"/>
        <v>#DIV/0!</v>
      </c>
      <c r="Q5" s="26" t="s">
        <v>66</v>
      </c>
    </row>
    <row r="6" spans="1:17" x14ac:dyDescent="0.45">
      <c r="L6" s="19"/>
    </row>
    <row r="7" spans="1:17" x14ac:dyDescent="0.45">
      <c r="L7" s="19"/>
    </row>
    <row r="8" spans="1:17" x14ac:dyDescent="0.45">
      <c r="L8" s="19"/>
    </row>
    <row r="9" spans="1:17" x14ac:dyDescent="0.45">
      <c r="L9" s="19"/>
    </row>
    <row r="10" spans="1:17" x14ac:dyDescent="0.45">
      <c r="L10" s="19"/>
    </row>
    <row r="11" spans="1:17" x14ac:dyDescent="0.45">
      <c r="L11" s="19"/>
    </row>
    <row r="12" spans="1:17" x14ac:dyDescent="0.45">
      <c r="L12" s="19"/>
    </row>
    <row r="13" spans="1:17" x14ac:dyDescent="0.45">
      <c r="L13" s="19"/>
    </row>
    <row r="14" spans="1:17" x14ac:dyDescent="0.45">
      <c r="L14" s="19"/>
    </row>
    <row r="15" spans="1:17" x14ac:dyDescent="0.45">
      <c r="M15" s="19"/>
    </row>
    <row r="16" spans="1:17" x14ac:dyDescent="0.45">
      <c r="K16" s="53"/>
      <c r="M16" s="19"/>
    </row>
    <row r="17" spans="11:13" x14ac:dyDescent="0.45">
      <c r="K17" s="53"/>
      <c r="M17" s="19"/>
    </row>
    <row r="18" spans="11:13" x14ac:dyDescent="0.45">
      <c r="K18" s="53"/>
      <c r="M18" s="19"/>
    </row>
    <row r="19" spans="11:13" x14ac:dyDescent="0.45">
      <c r="K19" s="53"/>
      <c r="M19" s="19"/>
    </row>
    <row r="20" spans="11:13" x14ac:dyDescent="0.45">
      <c r="K20" s="53"/>
    </row>
    <row r="21" spans="11:13" x14ac:dyDescent="0.45">
      <c r="K21" s="53"/>
      <c r="M21" s="19"/>
    </row>
  </sheetData>
  <autoFilter ref="A1:Q1" xr:uid="{A0499EC0-9336-4A43-84AD-C0713E773EA7}"/>
  <conditionalFormatting sqref="B1:B1048576">
    <cfRule type="duplicateValues" dxfId="9" priority="6"/>
  </conditionalFormatting>
  <conditionalFormatting sqref="E2:F2">
    <cfRule type="expression" priority="144">
      <formula>MOD(E794:E1048376,2)&gt;0</formula>
    </cfRule>
  </conditionalFormatting>
  <conditionalFormatting sqref="E2:F5">
    <cfRule type="expression" dxfId="8" priority="114">
      <formula xml:space="preserve"> MOD(E:E/2,1)&gt;0</formula>
    </cfRule>
  </conditionalFormatting>
  <conditionalFormatting sqref="E3:F4">
    <cfRule type="expression" priority="130">
      <formula>MOD(E796:E1048378,2)&gt;0</formula>
    </cfRule>
  </conditionalFormatting>
  <conditionalFormatting sqref="E5:F5">
    <cfRule type="expression" priority="9">
      <formula>MOD(E800:E1048382,2)&gt;0</formula>
    </cfRule>
    <cfRule type="expression" priority="113">
      <formula>MOD(E799:E1048381,2)&gt;0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BB09-ABC9-48FE-9130-3FEEE4B55C02}">
  <sheetPr>
    <tabColor theme="9" tint="0.59999389629810485"/>
  </sheetPr>
  <dimension ref="A1:Q25"/>
  <sheetViews>
    <sheetView topLeftCell="B1" workbookViewId="0">
      <pane xSplit="3" ySplit="1" topLeftCell="O2" activePane="bottomRight" state="frozen"/>
      <selection activeCell="C25" sqref="C25"/>
      <selection pane="topRight" activeCell="C25" sqref="C25"/>
      <selection pane="bottomLeft" activeCell="C25" sqref="C25"/>
      <selection pane="bottomRight" activeCell="P18" sqref="P18"/>
    </sheetView>
  </sheetViews>
  <sheetFormatPr defaultColWidth="9.15234375" defaultRowHeight="15.9" x14ac:dyDescent="0.45"/>
  <cols>
    <col min="1" max="1" width="9.15234375" style="13"/>
    <col min="2" max="2" width="14.23046875" style="13" bestFit="1" customWidth="1"/>
    <col min="3" max="3" width="43.53515625" style="15" bestFit="1" customWidth="1"/>
    <col min="4" max="4" width="19.15234375" style="15" bestFit="1" customWidth="1"/>
    <col min="5" max="5" width="14.15234375" style="16" bestFit="1" customWidth="1"/>
    <col min="6" max="6" width="13.4609375" style="16" bestFit="1" customWidth="1"/>
    <col min="7" max="7" width="39.3046875" style="23" bestFit="1" customWidth="1"/>
    <col min="8" max="8" width="19.69140625" style="17" bestFit="1" customWidth="1"/>
    <col min="9" max="9" width="16.53515625" style="17" bestFit="1" customWidth="1"/>
    <col min="10" max="10" width="19.3828125" style="17" bestFit="1" customWidth="1"/>
    <col min="11" max="11" width="25.07421875" style="17" bestFit="1" customWidth="1"/>
    <col min="12" max="12" width="11.3828125" style="17" bestFit="1" customWidth="1"/>
    <col min="13" max="13" width="16.3828125" style="17" bestFit="1" customWidth="1"/>
    <col min="14" max="14" width="28.53515625" style="17" bestFit="1" customWidth="1"/>
    <col min="15" max="15" width="18.84375" style="17" bestFit="1" customWidth="1"/>
    <col min="16" max="16" width="26.3828125" style="18" bestFit="1" customWidth="1"/>
    <col min="17" max="17" width="66.765625" style="65" bestFit="1" customWidth="1"/>
    <col min="18" max="16384" width="9.15234375" style="13"/>
  </cols>
  <sheetData>
    <row r="1" spans="1:17" x14ac:dyDescent="0.45">
      <c r="B1" s="1" t="s">
        <v>0</v>
      </c>
      <c r="C1" s="1" t="s">
        <v>10</v>
      </c>
      <c r="D1" s="1" t="s">
        <v>9</v>
      </c>
      <c r="E1" s="2" t="s">
        <v>18</v>
      </c>
      <c r="F1" s="3" t="s">
        <v>19</v>
      </c>
      <c r="G1" s="22" t="s">
        <v>94</v>
      </c>
      <c r="H1" s="3" t="s">
        <v>12</v>
      </c>
      <c r="I1" s="4" t="s">
        <v>73</v>
      </c>
      <c r="J1" s="4" t="s">
        <v>1</v>
      </c>
      <c r="K1" s="4" t="s">
        <v>2</v>
      </c>
      <c r="L1" s="4" t="s">
        <v>3</v>
      </c>
      <c r="M1" s="4" t="s">
        <v>4</v>
      </c>
      <c r="N1" s="5" t="s">
        <v>5</v>
      </c>
      <c r="O1" s="5" t="s">
        <v>6</v>
      </c>
      <c r="P1" s="6" t="s">
        <v>7</v>
      </c>
      <c r="Q1" s="64" t="s">
        <v>8</v>
      </c>
    </row>
    <row r="2" spans="1:17" x14ac:dyDescent="0.45">
      <c r="B2" s="7"/>
      <c r="C2" s="12" t="s">
        <v>133</v>
      </c>
      <c r="D2" s="8" t="s">
        <v>34</v>
      </c>
      <c r="E2" s="21">
        <v>45658</v>
      </c>
      <c r="F2" s="21">
        <v>45900</v>
      </c>
      <c r="G2" s="8" t="s">
        <v>13</v>
      </c>
      <c r="H2" s="20">
        <v>3</v>
      </c>
      <c r="I2" s="11" t="s">
        <v>74</v>
      </c>
      <c r="J2" s="11">
        <v>9</v>
      </c>
      <c r="K2" s="11">
        <v>8</v>
      </c>
      <c r="L2" s="11">
        <v>0</v>
      </c>
      <c r="M2" s="11">
        <v>0</v>
      </c>
      <c r="N2" s="9">
        <f t="shared" ref="N2:P6" si="0">K2/J2</f>
        <v>0.88888888888888884</v>
      </c>
      <c r="O2" s="10">
        <f t="shared" si="0"/>
        <v>0</v>
      </c>
      <c r="P2" s="9" t="e">
        <f>M2/L2</f>
        <v>#DIV/0!</v>
      </c>
      <c r="Q2" s="26" t="s">
        <v>27</v>
      </c>
    </row>
    <row r="3" spans="1:17" x14ac:dyDescent="0.45">
      <c r="B3" s="7"/>
      <c r="C3" s="12" t="s">
        <v>136</v>
      </c>
      <c r="D3" s="8" t="s">
        <v>33</v>
      </c>
      <c r="E3" s="21">
        <v>45658</v>
      </c>
      <c r="F3" s="21">
        <v>46022</v>
      </c>
      <c r="G3" s="8" t="s">
        <v>21</v>
      </c>
      <c r="H3" s="20">
        <v>11</v>
      </c>
      <c r="I3" s="11" t="s">
        <v>74</v>
      </c>
      <c r="J3" s="11">
        <v>17</v>
      </c>
      <c r="K3" s="11">
        <v>17</v>
      </c>
      <c r="L3" s="11">
        <v>0</v>
      </c>
      <c r="M3" s="11">
        <v>0</v>
      </c>
      <c r="N3" s="9">
        <f t="shared" si="0"/>
        <v>1</v>
      </c>
      <c r="O3" s="10">
        <f t="shared" si="0"/>
        <v>0</v>
      </c>
      <c r="P3" s="9" t="e">
        <f t="shared" si="0"/>
        <v>#DIV/0!</v>
      </c>
      <c r="Q3" s="26" t="s">
        <v>67</v>
      </c>
    </row>
    <row r="4" spans="1:17" x14ac:dyDescent="0.45">
      <c r="A4" s="14"/>
      <c r="B4" s="7"/>
      <c r="C4" s="12" t="s">
        <v>137</v>
      </c>
      <c r="D4" s="8" t="s">
        <v>33</v>
      </c>
      <c r="E4" s="21">
        <v>45658</v>
      </c>
      <c r="F4" s="21">
        <v>45838</v>
      </c>
      <c r="G4" s="8" t="s">
        <v>20</v>
      </c>
      <c r="H4" s="20">
        <v>39</v>
      </c>
      <c r="I4" s="11" t="s">
        <v>74</v>
      </c>
      <c r="J4" s="7">
        <v>94</v>
      </c>
      <c r="K4" s="7">
        <v>94</v>
      </c>
      <c r="L4" s="7">
        <v>0</v>
      </c>
      <c r="M4" s="7">
        <v>0</v>
      </c>
      <c r="N4" s="9">
        <f t="shared" si="0"/>
        <v>1</v>
      </c>
      <c r="O4" s="10">
        <f t="shared" si="0"/>
        <v>0</v>
      </c>
      <c r="P4" s="9" t="e">
        <f t="shared" si="0"/>
        <v>#DIV/0!</v>
      </c>
      <c r="Q4" s="26" t="s">
        <v>60</v>
      </c>
    </row>
    <row r="5" spans="1:17" x14ac:dyDescent="0.45">
      <c r="B5" s="7"/>
      <c r="C5" s="12" t="s">
        <v>139</v>
      </c>
      <c r="D5" s="8" t="s">
        <v>33</v>
      </c>
      <c r="E5" s="21">
        <v>45658</v>
      </c>
      <c r="F5" s="21">
        <v>46022</v>
      </c>
      <c r="G5" s="8" t="s">
        <v>15</v>
      </c>
      <c r="H5" s="20">
        <v>16</v>
      </c>
      <c r="I5" s="11" t="s">
        <v>74</v>
      </c>
      <c r="J5" s="7">
        <v>63</v>
      </c>
      <c r="K5" s="7">
        <v>61</v>
      </c>
      <c r="L5" s="7">
        <v>0</v>
      </c>
      <c r="M5" s="7">
        <v>0</v>
      </c>
      <c r="N5" s="9">
        <f t="shared" si="0"/>
        <v>0.96825396825396826</v>
      </c>
      <c r="O5" s="10">
        <f t="shared" si="0"/>
        <v>0</v>
      </c>
      <c r="P5" s="9" t="e">
        <f t="shared" si="0"/>
        <v>#DIV/0!</v>
      </c>
      <c r="Q5" s="26" t="s">
        <v>68</v>
      </c>
    </row>
    <row r="6" spans="1:17" x14ac:dyDescent="0.45">
      <c r="B6" s="7"/>
      <c r="C6" s="12" t="s">
        <v>142</v>
      </c>
      <c r="D6" s="8" t="s">
        <v>141</v>
      </c>
      <c r="E6" s="21">
        <v>45658</v>
      </c>
      <c r="F6" s="21">
        <v>46022</v>
      </c>
      <c r="G6" s="8" t="s">
        <v>16</v>
      </c>
      <c r="H6" s="20">
        <v>6</v>
      </c>
      <c r="I6" s="7" t="s">
        <v>74</v>
      </c>
      <c r="J6" s="7">
        <v>16</v>
      </c>
      <c r="K6" s="7">
        <v>16</v>
      </c>
      <c r="L6" s="7">
        <v>0</v>
      </c>
      <c r="M6" s="7">
        <v>0</v>
      </c>
      <c r="N6" s="9">
        <f t="shared" si="0"/>
        <v>1</v>
      </c>
      <c r="O6" s="10">
        <f t="shared" si="0"/>
        <v>0</v>
      </c>
      <c r="P6" s="9" t="e">
        <f t="shared" si="0"/>
        <v>#DIV/0!</v>
      </c>
      <c r="Q6" s="26" t="s">
        <v>28</v>
      </c>
    </row>
    <row r="7" spans="1:17" x14ac:dyDescent="0.45">
      <c r="L7" s="19"/>
    </row>
    <row r="8" spans="1:17" x14ac:dyDescent="0.45">
      <c r="L8" s="19"/>
    </row>
    <row r="9" spans="1:17" x14ac:dyDescent="0.45">
      <c r="L9" s="19"/>
    </row>
    <row r="10" spans="1:17" x14ac:dyDescent="0.45">
      <c r="L10" s="19"/>
    </row>
    <row r="11" spans="1:17" x14ac:dyDescent="0.45">
      <c r="L11" s="19"/>
    </row>
    <row r="12" spans="1:17" x14ac:dyDescent="0.45">
      <c r="L12" s="19"/>
    </row>
    <row r="13" spans="1:17" x14ac:dyDescent="0.45">
      <c r="L13" s="19"/>
    </row>
    <row r="14" spans="1:17" x14ac:dyDescent="0.45">
      <c r="M14" s="54"/>
    </row>
    <row r="15" spans="1:17" x14ac:dyDescent="0.45">
      <c r="K15" s="53"/>
      <c r="M15" s="54"/>
    </row>
    <row r="16" spans="1:17" x14ac:dyDescent="0.45">
      <c r="K16" s="53"/>
      <c r="M16" s="54"/>
    </row>
    <row r="17" spans="11:14" x14ac:dyDescent="0.45">
      <c r="K17" s="53"/>
      <c r="M17" s="54"/>
    </row>
    <row r="18" spans="11:14" x14ac:dyDescent="0.45">
      <c r="K18" s="53"/>
      <c r="M18" s="54"/>
    </row>
    <row r="19" spans="11:14" x14ac:dyDescent="0.45">
      <c r="K19" s="53"/>
    </row>
    <row r="20" spans="11:14" x14ac:dyDescent="0.45">
      <c r="K20" s="53"/>
      <c r="M20" s="54"/>
    </row>
    <row r="21" spans="11:14" x14ac:dyDescent="0.45">
      <c r="L21" s="19"/>
    </row>
    <row r="22" spans="11:14" x14ac:dyDescent="0.45">
      <c r="L22" s="19"/>
    </row>
    <row r="23" spans="11:14" x14ac:dyDescent="0.45">
      <c r="L23" s="19"/>
    </row>
    <row r="25" spans="11:14" x14ac:dyDescent="0.45">
      <c r="L25" s="55"/>
      <c r="M25" s="55"/>
      <c r="N25" s="55"/>
    </row>
  </sheetData>
  <autoFilter ref="A1:Q1" xr:uid="{A0499EC0-9336-4A43-84AD-C0713E773EA7}"/>
  <conditionalFormatting sqref="B1:B1048576">
    <cfRule type="duplicateValues" dxfId="7" priority="6"/>
  </conditionalFormatting>
  <conditionalFormatting sqref="E2:F2">
    <cfRule type="expression" priority="150">
      <formula>MOD(E799:E1048381,2)&gt;0</formula>
    </cfRule>
  </conditionalFormatting>
  <conditionalFormatting sqref="E2:F6">
    <cfRule type="expression" dxfId="6" priority="11">
      <formula xml:space="preserve"> MOD(E:E/2,1)&gt;0</formula>
    </cfRule>
  </conditionalFormatting>
  <conditionalFormatting sqref="E3:F4">
    <cfRule type="expression" priority="156">
      <formula>MOD(E801:E1048383,2)&gt;0</formula>
    </cfRule>
  </conditionalFormatting>
  <conditionalFormatting sqref="E5:F6">
    <cfRule type="expression" priority="8">
      <formula>MOD(E804:E1048386,2)&gt;0</formula>
    </cfRule>
    <cfRule type="expression" priority="9">
      <formula>MOD(E805:E1048387,2)&gt;0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7C93-B511-4B6C-8E93-020D91EDAC15}">
  <sheetPr>
    <tabColor theme="9" tint="0.59999389629810485"/>
  </sheetPr>
  <dimension ref="A1:Q26"/>
  <sheetViews>
    <sheetView topLeftCell="B1" workbookViewId="0">
      <pane xSplit="3" ySplit="1" topLeftCell="O2" activePane="bottomRight" state="frozen"/>
      <selection activeCell="C25" sqref="C25"/>
      <selection pane="topRight" activeCell="C25" sqref="C25"/>
      <selection pane="bottomLeft" activeCell="C25" sqref="C25"/>
      <selection pane="bottomRight" activeCell="O26" sqref="O26"/>
    </sheetView>
  </sheetViews>
  <sheetFormatPr defaultColWidth="9.15234375" defaultRowHeight="15.9" x14ac:dyDescent="0.45"/>
  <cols>
    <col min="1" max="1" width="9.15234375" style="13"/>
    <col min="2" max="2" width="14.23046875" style="13" bestFit="1" customWidth="1"/>
    <col min="3" max="3" width="43.53515625" style="15" bestFit="1" customWidth="1"/>
    <col min="4" max="4" width="19.15234375" style="15" bestFit="1" customWidth="1"/>
    <col min="5" max="5" width="14.15234375" style="16" bestFit="1" customWidth="1"/>
    <col min="6" max="6" width="13.4609375" style="16" bestFit="1" customWidth="1"/>
    <col min="7" max="7" width="39.3046875" style="23" bestFit="1" customWidth="1"/>
    <col min="8" max="8" width="19.69140625" style="17" bestFit="1" customWidth="1"/>
    <col min="9" max="9" width="16.53515625" style="17" bestFit="1" customWidth="1"/>
    <col min="10" max="10" width="19.3828125" style="17" bestFit="1" customWidth="1"/>
    <col min="11" max="11" width="25.07421875" style="17" bestFit="1" customWidth="1"/>
    <col min="12" max="12" width="11.3828125" style="17" bestFit="1" customWidth="1"/>
    <col min="13" max="13" width="16.3828125" style="17" bestFit="1" customWidth="1"/>
    <col min="14" max="14" width="28.53515625" style="17" bestFit="1" customWidth="1"/>
    <col min="15" max="15" width="18.84375" style="17" bestFit="1" customWidth="1"/>
    <col min="16" max="16" width="26.3828125" style="18" bestFit="1" customWidth="1"/>
    <col min="17" max="17" width="76.15234375" style="65" bestFit="1" customWidth="1"/>
    <col min="18" max="16384" width="9.15234375" style="13"/>
  </cols>
  <sheetData>
    <row r="1" spans="1:17" x14ac:dyDescent="0.45">
      <c r="B1" s="1" t="s">
        <v>0</v>
      </c>
      <c r="C1" s="1" t="s">
        <v>10</v>
      </c>
      <c r="D1" s="1" t="s">
        <v>9</v>
      </c>
      <c r="E1" s="2" t="s">
        <v>18</v>
      </c>
      <c r="F1" s="3" t="s">
        <v>19</v>
      </c>
      <c r="G1" s="22" t="s">
        <v>94</v>
      </c>
      <c r="H1" s="3" t="s">
        <v>12</v>
      </c>
      <c r="I1" s="4" t="s">
        <v>73</v>
      </c>
      <c r="J1" s="4" t="s">
        <v>1</v>
      </c>
      <c r="K1" s="4" t="s">
        <v>2</v>
      </c>
      <c r="L1" s="4" t="s">
        <v>3</v>
      </c>
      <c r="M1" s="4" t="s">
        <v>4</v>
      </c>
      <c r="N1" s="5" t="s">
        <v>5</v>
      </c>
      <c r="O1" s="5" t="s">
        <v>6</v>
      </c>
      <c r="P1" s="6" t="s">
        <v>7</v>
      </c>
      <c r="Q1" s="64" t="s">
        <v>8</v>
      </c>
    </row>
    <row r="2" spans="1:17" x14ac:dyDescent="0.45">
      <c r="B2" s="7"/>
      <c r="C2" s="12" t="s">
        <v>133</v>
      </c>
      <c r="D2" s="8" t="s">
        <v>34</v>
      </c>
      <c r="E2" s="21">
        <v>45658</v>
      </c>
      <c r="F2" s="21">
        <v>45900</v>
      </c>
      <c r="G2" s="8" t="s">
        <v>13</v>
      </c>
      <c r="H2" s="20">
        <v>3</v>
      </c>
      <c r="I2" s="11" t="s">
        <v>74</v>
      </c>
      <c r="J2" s="11">
        <v>10</v>
      </c>
      <c r="K2" s="11">
        <v>10</v>
      </c>
      <c r="L2" s="11">
        <v>0</v>
      </c>
      <c r="M2" s="11">
        <v>0</v>
      </c>
      <c r="N2" s="9">
        <f t="shared" ref="N2:N7" si="0">K2/J2</f>
        <v>1</v>
      </c>
      <c r="O2" s="10">
        <f t="shared" ref="O2:O7" si="1">L2/K2</f>
        <v>0</v>
      </c>
      <c r="P2" s="9" t="e">
        <f>M2/L2</f>
        <v>#DIV/0!</v>
      </c>
      <c r="Q2" s="26" t="s">
        <v>24</v>
      </c>
    </row>
    <row r="3" spans="1:17" x14ac:dyDescent="0.45">
      <c r="B3" s="7"/>
      <c r="C3" s="12" t="s">
        <v>134</v>
      </c>
      <c r="D3" s="8" t="s">
        <v>34</v>
      </c>
      <c r="E3" s="21">
        <v>45763</v>
      </c>
      <c r="F3" s="21">
        <v>45930</v>
      </c>
      <c r="G3" s="8" t="s">
        <v>14</v>
      </c>
      <c r="H3" s="20">
        <v>1</v>
      </c>
      <c r="I3" s="11" t="s">
        <v>74</v>
      </c>
      <c r="J3" s="11">
        <v>42</v>
      </c>
      <c r="K3" s="11">
        <v>42</v>
      </c>
      <c r="L3" s="11">
        <v>0</v>
      </c>
      <c r="M3" s="11">
        <v>0</v>
      </c>
      <c r="N3" s="9">
        <f t="shared" si="0"/>
        <v>1</v>
      </c>
      <c r="O3" s="10">
        <f t="shared" si="1"/>
        <v>0</v>
      </c>
      <c r="P3" s="9" t="e">
        <f t="shared" ref="P3:P7" si="2">M3/L3</f>
        <v>#DIV/0!</v>
      </c>
      <c r="Q3" s="26" t="s">
        <v>25</v>
      </c>
    </row>
    <row r="4" spans="1:17" x14ac:dyDescent="0.45">
      <c r="B4" s="7"/>
      <c r="C4" s="12" t="s">
        <v>136</v>
      </c>
      <c r="D4" s="8" t="s">
        <v>33</v>
      </c>
      <c r="E4" s="21">
        <v>45658</v>
      </c>
      <c r="F4" s="21">
        <v>46022</v>
      </c>
      <c r="G4" s="8" t="s">
        <v>21</v>
      </c>
      <c r="H4" s="20">
        <v>11</v>
      </c>
      <c r="I4" s="11" t="s">
        <v>74</v>
      </c>
      <c r="J4" s="7">
        <v>42</v>
      </c>
      <c r="K4" s="7">
        <v>42</v>
      </c>
      <c r="L4" s="7">
        <v>1</v>
      </c>
      <c r="M4" s="7">
        <v>1</v>
      </c>
      <c r="N4" s="9">
        <f t="shared" si="0"/>
        <v>1</v>
      </c>
      <c r="O4" s="10">
        <f t="shared" si="1"/>
        <v>2.3809523809523808E-2</v>
      </c>
      <c r="P4" s="9">
        <f t="shared" si="2"/>
        <v>1</v>
      </c>
      <c r="Q4" s="26" t="s">
        <v>69</v>
      </c>
    </row>
    <row r="5" spans="1:17" x14ac:dyDescent="0.45">
      <c r="A5" s="14"/>
      <c r="B5" s="7"/>
      <c r="C5" s="12" t="s">
        <v>137</v>
      </c>
      <c r="D5" s="8" t="s">
        <v>33</v>
      </c>
      <c r="E5" s="21">
        <v>45658</v>
      </c>
      <c r="F5" s="21">
        <v>45838</v>
      </c>
      <c r="G5" s="8" t="s">
        <v>20</v>
      </c>
      <c r="H5" s="20">
        <v>39</v>
      </c>
      <c r="I5" s="11" t="s">
        <v>74</v>
      </c>
      <c r="J5" s="7">
        <v>50</v>
      </c>
      <c r="K5" s="7">
        <v>50</v>
      </c>
      <c r="L5" s="7">
        <v>0</v>
      </c>
      <c r="M5" s="7">
        <v>0</v>
      </c>
      <c r="N5" s="9">
        <f t="shared" si="0"/>
        <v>1</v>
      </c>
      <c r="O5" s="10">
        <f t="shared" si="1"/>
        <v>0</v>
      </c>
      <c r="P5" s="9" t="e">
        <f t="shared" si="2"/>
        <v>#DIV/0!</v>
      </c>
      <c r="Q5" s="26" t="s">
        <v>70</v>
      </c>
    </row>
    <row r="6" spans="1:17" x14ac:dyDescent="0.45">
      <c r="B6" s="7"/>
      <c r="C6" s="12" t="s">
        <v>139</v>
      </c>
      <c r="D6" s="8" t="s">
        <v>33</v>
      </c>
      <c r="E6" s="21">
        <v>45658</v>
      </c>
      <c r="F6" s="21">
        <v>46022</v>
      </c>
      <c r="G6" s="8" t="s">
        <v>15</v>
      </c>
      <c r="H6" s="20">
        <v>16</v>
      </c>
      <c r="I6" s="7" t="s">
        <v>74</v>
      </c>
      <c r="J6" s="7">
        <v>37</v>
      </c>
      <c r="K6" s="7">
        <v>37</v>
      </c>
      <c r="L6" s="7">
        <v>0</v>
      </c>
      <c r="M6" s="7">
        <v>0</v>
      </c>
      <c r="N6" s="9">
        <f t="shared" si="0"/>
        <v>1</v>
      </c>
      <c r="O6" s="10">
        <f t="shared" si="1"/>
        <v>0</v>
      </c>
      <c r="P6" s="9" t="e">
        <f t="shared" si="2"/>
        <v>#DIV/0!</v>
      </c>
      <c r="Q6" s="26" t="s">
        <v>62</v>
      </c>
    </row>
    <row r="7" spans="1:17" x14ac:dyDescent="0.45">
      <c r="B7" s="7"/>
      <c r="C7" s="12" t="s">
        <v>142</v>
      </c>
      <c r="D7" s="8" t="s">
        <v>141</v>
      </c>
      <c r="E7" s="21">
        <v>45658</v>
      </c>
      <c r="F7" s="21">
        <v>46022</v>
      </c>
      <c r="G7" s="8" t="s">
        <v>16</v>
      </c>
      <c r="H7" s="20">
        <v>6</v>
      </c>
      <c r="I7" s="7" t="s">
        <v>74</v>
      </c>
      <c r="J7" s="7">
        <v>119</v>
      </c>
      <c r="K7" s="7">
        <v>119</v>
      </c>
      <c r="L7" s="7">
        <v>12</v>
      </c>
      <c r="M7" s="7">
        <v>12</v>
      </c>
      <c r="N7" s="9">
        <f t="shared" si="0"/>
        <v>1</v>
      </c>
      <c r="O7" s="10">
        <f t="shared" si="1"/>
        <v>0.10084033613445378</v>
      </c>
      <c r="P7" s="9">
        <f t="shared" si="2"/>
        <v>1</v>
      </c>
      <c r="Q7" s="26" t="s">
        <v>26</v>
      </c>
    </row>
    <row r="8" spans="1:17" x14ac:dyDescent="0.45">
      <c r="L8" s="19"/>
    </row>
    <row r="9" spans="1:17" x14ac:dyDescent="0.45">
      <c r="L9" s="19"/>
    </row>
    <row r="10" spans="1:17" x14ac:dyDescent="0.45">
      <c r="L10" s="19"/>
    </row>
    <row r="11" spans="1:17" x14ac:dyDescent="0.45">
      <c r="L11" s="19"/>
    </row>
    <row r="12" spans="1:17" x14ac:dyDescent="0.45">
      <c r="L12" s="19"/>
    </row>
    <row r="13" spans="1:17" x14ac:dyDescent="0.45">
      <c r="M13" s="54"/>
    </row>
    <row r="14" spans="1:17" x14ac:dyDescent="0.45">
      <c r="J14" s="53"/>
      <c r="K14" s="53"/>
      <c r="M14" s="54"/>
    </row>
    <row r="15" spans="1:17" x14ac:dyDescent="0.45">
      <c r="K15" s="53"/>
      <c r="M15" s="54"/>
    </row>
    <row r="16" spans="1:17" x14ac:dyDescent="0.45">
      <c r="J16" s="53"/>
      <c r="K16" s="53"/>
      <c r="M16" s="54"/>
    </row>
    <row r="17" spans="10:14" x14ac:dyDescent="0.45">
      <c r="J17" s="53"/>
      <c r="K17" s="53"/>
      <c r="M17" s="54"/>
    </row>
    <row r="18" spans="10:14" x14ac:dyDescent="0.45">
      <c r="J18" s="53"/>
      <c r="K18" s="53"/>
    </row>
    <row r="19" spans="10:14" x14ac:dyDescent="0.45">
      <c r="K19" s="53"/>
      <c r="M19" s="54"/>
    </row>
    <row r="20" spans="10:14" x14ac:dyDescent="0.45">
      <c r="L20" s="19"/>
    </row>
    <row r="21" spans="10:14" x14ac:dyDescent="0.45">
      <c r="L21" s="19"/>
    </row>
    <row r="22" spans="10:14" x14ac:dyDescent="0.45">
      <c r="L22" s="19"/>
    </row>
    <row r="23" spans="10:14" x14ac:dyDescent="0.45">
      <c r="L23"/>
      <c r="M23"/>
      <c r="N23"/>
    </row>
    <row r="24" spans="10:14" x14ac:dyDescent="0.45">
      <c r="L24"/>
      <c r="M24"/>
      <c r="N24"/>
    </row>
    <row r="25" spans="10:14" x14ac:dyDescent="0.45">
      <c r="L25"/>
      <c r="M25"/>
      <c r="N25"/>
    </row>
    <row r="26" spans="10:14" x14ac:dyDescent="0.45">
      <c r="L26"/>
      <c r="M26"/>
    </row>
  </sheetData>
  <autoFilter ref="A1:Q1" xr:uid="{A0499EC0-9336-4A43-84AD-C0713E773EA7}"/>
  <conditionalFormatting sqref="B1:B1048576">
    <cfRule type="duplicateValues" dxfId="5" priority="79"/>
  </conditionalFormatting>
  <conditionalFormatting sqref="E2:F5">
    <cfRule type="expression" priority="138">
      <formula>MOD(E798:E1048380,2)&gt;0</formula>
    </cfRule>
  </conditionalFormatting>
  <conditionalFormatting sqref="E2:F7">
    <cfRule type="expression" dxfId="4" priority="102">
      <formula xml:space="preserve"> MOD(E:E/2,1)&gt;0</formula>
    </cfRule>
  </conditionalFormatting>
  <conditionalFormatting sqref="E6:F7">
    <cfRule type="expression" priority="83">
      <formula>MOD(E804:E1048386,2)&gt;0</formula>
    </cfRule>
    <cfRule type="expression" priority="84">
      <formula>MOD(E803:E1048385,2)&gt;0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52A4-7A4A-4C5E-BE76-619C30AA51BD}">
  <sheetPr>
    <tabColor theme="9" tint="0.59999389629810485"/>
  </sheetPr>
  <dimension ref="A1:Q26"/>
  <sheetViews>
    <sheetView topLeftCell="B1" zoomScaleNormal="100" workbookViewId="0">
      <pane xSplit="3" ySplit="1" topLeftCell="E2" activePane="bottomRight" state="frozen"/>
      <selection activeCell="C25" sqref="C25"/>
      <selection pane="topRight" activeCell="C25" sqref="C25"/>
      <selection pane="bottomLeft" activeCell="C25" sqref="C25"/>
      <selection pane="bottomRight" activeCell="F16" sqref="F16"/>
    </sheetView>
  </sheetViews>
  <sheetFormatPr defaultColWidth="9.15234375" defaultRowHeight="15.9" x14ac:dyDescent="0.45"/>
  <cols>
    <col min="1" max="1" width="9.15234375" style="13"/>
    <col min="2" max="2" width="14.23046875" style="13" bestFit="1" customWidth="1"/>
    <col min="3" max="3" width="43.53515625" style="15" bestFit="1" customWidth="1"/>
    <col min="4" max="4" width="19.15234375" style="15" bestFit="1" customWidth="1"/>
    <col min="5" max="5" width="14.15234375" style="16" bestFit="1" customWidth="1"/>
    <col min="6" max="6" width="13.4609375" style="16" bestFit="1" customWidth="1"/>
    <col min="7" max="7" width="39.3046875" style="23" bestFit="1" customWidth="1"/>
    <col min="8" max="8" width="19.69140625" style="17" bestFit="1" customWidth="1"/>
    <col min="9" max="9" width="16.53515625" style="17" bestFit="1" customWidth="1"/>
    <col min="10" max="10" width="19.3828125" style="17" bestFit="1" customWidth="1"/>
    <col min="11" max="11" width="25.07421875" style="17" bestFit="1" customWidth="1"/>
    <col min="12" max="12" width="11.3828125" style="17" bestFit="1" customWidth="1"/>
    <col min="13" max="13" width="16.3828125" style="17" bestFit="1" customWidth="1"/>
    <col min="14" max="14" width="28.53515625" style="17" bestFit="1" customWidth="1"/>
    <col min="15" max="15" width="18.84375" style="17" bestFit="1" customWidth="1"/>
    <col min="16" max="16" width="26.3828125" style="18" bestFit="1" customWidth="1"/>
    <col min="17" max="17" width="78.61328125" style="94" bestFit="1" customWidth="1"/>
    <col min="18" max="16384" width="9.15234375" style="13"/>
  </cols>
  <sheetData>
    <row r="1" spans="1:17" x14ac:dyDescent="0.45">
      <c r="B1" s="1" t="s">
        <v>0</v>
      </c>
      <c r="C1" s="1" t="s">
        <v>10</v>
      </c>
      <c r="D1" s="1" t="s">
        <v>9</v>
      </c>
      <c r="E1" s="2" t="s">
        <v>18</v>
      </c>
      <c r="F1" s="3" t="s">
        <v>19</v>
      </c>
      <c r="G1" s="22" t="s">
        <v>94</v>
      </c>
      <c r="H1" s="3" t="s">
        <v>12</v>
      </c>
      <c r="I1" s="4" t="s">
        <v>73</v>
      </c>
      <c r="J1" s="4" t="s">
        <v>1</v>
      </c>
      <c r="K1" s="4" t="s">
        <v>2</v>
      </c>
      <c r="L1" s="4" t="s">
        <v>3</v>
      </c>
      <c r="M1" s="4" t="s">
        <v>4</v>
      </c>
      <c r="N1" s="5" t="s">
        <v>5</v>
      </c>
      <c r="O1" s="5" t="s">
        <v>6</v>
      </c>
      <c r="P1" s="6" t="s">
        <v>7</v>
      </c>
      <c r="Q1" s="93" t="s">
        <v>8</v>
      </c>
    </row>
    <row r="2" spans="1:17" x14ac:dyDescent="0.45">
      <c r="B2" s="7"/>
      <c r="C2" s="12" t="s">
        <v>133</v>
      </c>
      <c r="D2" s="8" t="s">
        <v>34</v>
      </c>
      <c r="E2" s="21">
        <v>45658</v>
      </c>
      <c r="F2" s="21">
        <v>45900</v>
      </c>
      <c r="G2" s="8" t="s">
        <v>13</v>
      </c>
      <c r="H2" s="20">
        <v>3</v>
      </c>
      <c r="I2" s="11" t="s">
        <v>74</v>
      </c>
      <c r="J2" s="11">
        <v>13</v>
      </c>
      <c r="K2" s="11">
        <v>11</v>
      </c>
      <c r="L2" s="11">
        <v>0</v>
      </c>
      <c r="M2" s="11">
        <v>0</v>
      </c>
      <c r="N2" s="9">
        <f t="shared" ref="N2:P8" si="0">K2/J2</f>
        <v>0.84615384615384615</v>
      </c>
      <c r="O2" s="10">
        <f t="shared" si="0"/>
        <v>0</v>
      </c>
      <c r="P2" s="9" t="e">
        <f>M2/L2</f>
        <v>#DIV/0!</v>
      </c>
      <c r="Q2" s="26" t="s">
        <v>22</v>
      </c>
    </row>
    <row r="3" spans="1:17" x14ac:dyDescent="0.45">
      <c r="B3" s="7"/>
      <c r="C3" s="12" t="s">
        <v>134</v>
      </c>
      <c r="D3" s="8" t="s">
        <v>34</v>
      </c>
      <c r="E3" s="21">
        <v>45763</v>
      </c>
      <c r="F3" s="21">
        <v>45930</v>
      </c>
      <c r="G3" s="8" t="s">
        <v>14</v>
      </c>
      <c r="H3" s="20">
        <v>1</v>
      </c>
      <c r="I3" s="11" t="s">
        <v>74</v>
      </c>
      <c r="J3" s="11">
        <v>32</v>
      </c>
      <c r="K3" s="11">
        <v>32</v>
      </c>
      <c r="L3" s="11">
        <v>28</v>
      </c>
      <c r="M3" s="11">
        <v>28</v>
      </c>
      <c r="N3" s="9">
        <f t="shared" si="0"/>
        <v>1</v>
      </c>
      <c r="O3" s="10">
        <f t="shared" si="0"/>
        <v>0.875</v>
      </c>
      <c r="P3" s="9">
        <f t="shared" si="0"/>
        <v>1</v>
      </c>
      <c r="Q3" s="26" t="s">
        <v>23</v>
      </c>
    </row>
    <row r="4" spans="1:17" x14ac:dyDescent="0.45">
      <c r="B4" s="7"/>
      <c r="C4" s="12" t="s">
        <v>136</v>
      </c>
      <c r="D4" s="8" t="s">
        <v>33</v>
      </c>
      <c r="E4" s="21">
        <v>45658</v>
      </c>
      <c r="F4" s="21">
        <v>46022</v>
      </c>
      <c r="G4" s="8" t="s">
        <v>21</v>
      </c>
      <c r="H4" s="20">
        <v>11</v>
      </c>
      <c r="I4" s="11" t="s">
        <v>74</v>
      </c>
      <c r="J4" s="7">
        <v>57</v>
      </c>
      <c r="K4" s="7">
        <v>57</v>
      </c>
      <c r="L4" s="7">
        <v>0</v>
      </c>
      <c r="M4" s="7">
        <v>0</v>
      </c>
      <c r="N4" s="9">
        <f t="shared" si="0"/>
        <v>1</v>
      </c>
      <c r="O4" s="10">
        <f t="shared" si="0"/>
        <v>0</v>
      </c>
      <c r="P4" s="9" t="e">
        <f t="shared" si="0"/>
        <v>#DIV/0!</v>
      </c>
      <c r="Q4" s="26" t="s">
        <v>71</v>
      </c>
    </row>
    <row r="5" spans="1:17" ht="63.45" x14ac:dyDescent="0.45">
      <c r="A5" s="14"/>
      <c r="B5" s="7"/>
      <c r="C5" s="12" t="s">
        <v>137</v>
      </c>
      <c r="D5" s="8" t="s">
        <v>33</v>
      </c>
      <c r="E5" s="21">
        <v>45658</v>
      </c>
      <c r="F5" s="21">
        <v>45838</v>
      </c>
      <c r="G5" s="8" t="s">
        <v>20</v>
      </c>
      <c r="H5" s="20">
        <v>39</v>
      </c>
      <c r="I5" s="11" t="s">
        <v>74</v>
      </c>
      <c r="J5" s="7">
        <v>172</v>
      </c>
      <c r="K5" s="7">
        <v>169</v>
      </c>
      <c r="L5" s="7">
        <v>2</v>
      </c>
      <c r="M5" s="7">
        <v>1</v>
      </c>
      <c r="N5" s="9">
        <f t="shared" si="0"/>
        <v>0.98255813953488369</v>
      </c>
      <c r="O5" s="10">
        <f t="shared" si="0"/>
        <v>1.1834319526627219E-2</v>
      </c>
      <c r="P5" s="9">
        <f t="shared" si="0"/>
        <v>0.5</v>
      </c>
      <c r="Q5" s="26" t="s">
        <v>130</v>
      </c>
    </row>
    <row r="6" spans="1:17" x14ac:dyDescent="0.45">
      <c r="B6" s="7"/>
      <c r="C6" s="12" t="s">
        <v>139</v>
      </c>
      <c r="D6" s="8" t="s">
        <v>33</v>
      </c>
      <c r="E6" s="21">
        <v>45658</v>
      </c>
      <c r="F6" s="21">
        <v>46022</v>
      </c>
      <c r="G6" s="8" t="s">
        <v>15</v>
      </c>
      <c r="H6" s="20">
        <v>16</v>
      </c>
      <c r="I6" s="7" t="s">
        <v>74</v>
      </c>
      <c r="J6" s="7">
        <v>26</v>
      </c>
      <c r="K6" s="7">
        <v>26</v>
      </c>
      <c r="L6" s="7">
        <v>0</v>
      </c>
      <c r="M6" s="7">
        <v>0</v>
      </c>
      <c r="N6" s="9">
        <f t="shared" si="0"/>
        <v>1</v>
      </c>
      <c r="O6" s="10">
        <f t="shared" si="0"/>
        <v>0</v>
      </c>
      <c r="P6" s="9" t="e">
        <f t="shared" si="0"/>
        <v>#DIV/0!</v>
      </c>
      <c r="Q6" s="26" t="s">
        <v>63</v>
      </c>
    </row>
    <row r="7" spans="1:17" x14ac:dyDescent="0.45">
      <c r="B7" s="7"/>
      <c r="C7" s="12" t="s">
        <v>140</v>
      </c>
      <c r="D7" s="8" t="s">
        <v>33</v>
      </c>
      <c r="E7" s="21">
        <v>45658</v>
      </c>
      <c r="F7" s="21">
        <v>45838</v>
      </c>
      <c r="G7" s="8" t="s">
        <v>15</v>
      </c>
      <c r="H7" s="20">
        <v>3</v>
      </c>
      <c r="I7" s="27" t="s">
        <v>74</v>
      </c>
      <c r="J7" s="7">
        <v>9</v>
      </c>
      <c r="K7" s="7">
        <v>9</v>
      </c>
      <c r="L7" s="7">
        <v>0</v>
      </c>
      <c r="M7" s="7">
        <v>0</v>
      </c>
      <c r="N7" s="9">
        <f t="shared" si="0"/>
        <v>1</v>
      </c>
      <c r="O7" s="10">
        <f t="shared" si="0"/>
        <v>0</v>
      </c>
      <c r="P7" s="9" t="e">
        <f t="shared" si="0"/>
        <v>#DIV/0!</v>
      </c>
      <c r="Q7" s="26" t="s">
        <v>72</v>
      </c>
    </row>
    <row r="8" spans="1:17" ht="31.75" x14ac:dyDescent="0.45">
      <c r="B8" s="7"/>
      <c r="C8" s="12" t="s">
        <v>142</v>
      </c>
      <c r="D8" s="8" t="s">
        <v>141</v>
      </c>
      <c r="E8" s="21">
        <v>45658</v>
      </c>
      <c r="F8" s="21">
        <v>46022</v>
      </c>
      <c r="G8" s="8" t="s">
        <v>16</v>
      </c>
      <c r="H8" s="20">
        <v>6</v>
      </c>
      <c r="I8" s="7" t="s">
        <v>74</v>
      </c>
      <c r="J8" s="7">
        <v>154</v>
      </c>
      <c r="K8" s="7">
        <v>154</v>
      </c>
      <c r="L8" s="7">
        <v>23</v>
      </c>
      <c r="M8" s="7">
        <v>21</v>
      </c>
      <c r="N8" s="9">
        <f t="shared" si="0"/>
        <v>1</v>
      </c>
      <c r="O8" s="10">
        <f t="shared" si="0"/>
        <v>0.14935064935064934</v>
      </c>
      <c r="P8" s="9">
        <f t="shared" si="0"/>
        <v>0.91304347826086951</v>
      </c>
      <c r="Q8" s="26" t="s">
        <v>146</v>
      </c>
    </row>
    <row r="14" spans="1:17" x14ac:dyDescent="0.45">
      <c r="M14" s="19"/>
    </row>
    <row r="15" spans="1:17" x14ac:dyDescent="0.45">
      <c r="L15" s="54"/>
      <c r="O15" s="18"/>
    </row>
    <row r="16" spans="1:17" x14ac:dyDescent="0.45">
      <c r="J16" s="53"/>
      <c r="L16" s="54"/>
      <c r="O16" s="18"/>
    </row>
    <row r="17" spans="10:15" x14ac:dyDescent="0.45">
      <c r="J17" s="53"/>
      <c r="L17" s="54"/>
      <c r="O17" s="18"/>
    </row>
    <row r="18" spans="10:15" x14ac:dyDescent="0.45">
      <c r="J18" s="53"/>
      <c r="L18" s="54"/>
      <c r="O18" s="18"/>
    </row>
    <row r="19" spans="10:15" x14ac:dyDescent="0.45">
      <c r="J19" s="53"/>
      <c r="L19" s="54"/>
      <c r="O19" s="18"/>
    </row>
    <row r="20" spans="10:15" x14ac:dyDescent="0.45">
      <c r="J20" s="53"/>
      <c r="O20" s="18"/>
    </row>
    <row r="21" spans="10:15" x14ac:dyDescent="0.45">
      <c r="J21" s="53"/>
      <c r="L21" s="19"/>
      <c r="O21" s="56"/>
    </row>
    <row r="23" spans="10:15" x14ac:dyDescent="0.45">
      <c r="K23"/>
      <c r="L23"/>
    </row>
    <row r="24" spans="10:15" x14ac:dyDescent="0.45">
      <c r="K24"/>
      <c r="L24"/>
    </row>
    <row r="25" spans="10:15" x14ac:dyDescent="0.45">
      <c r="K25"/>
      <c r="L25"/>
    </row>
    <row r="26" spans="10:15" x14ac:dyDescent="0.45">
      <c r="L26"/>
    </row>
  </sheetData>
  <autoFilter ref="A1:Q1" xr:uid="{A0499EC0-9336-4A43-84AD-C0713E773EA7}"/>
  <conditionalFormatting sqref="B1:B1048576">
    <cfRule type="duplicateValues" dxfId="3" priority="9"/>
  </conditionalFormatting>
  <conditionalFormatting sqref="E2:F5 E8:F8">
    <cfRule type="expression" priority="11">
      <formula>MOD(E569:E1048151,2)&gt;0</formula>
    </cfRule>
  </conditionalFormatting>
  <conditionalFormatting sqref="E2:F8">
    <cfRule type="expression" dxfId="2" priority="14">
      <formula xml:space="preserve"> MOD(E:E/2,1)&gt;0</formula>
    </cfRule>
  </conditionalFormatting>
  <conditionalFormatting sqref="E6:F7">
    <cfRule type="expression" priority="12">
      <formula>MOD(E575:E1048157,2)&gt;0</formula>
    </cfRule>
  </conditionalFormatting>
  <conditionalFormatting sqref="E6:F8">
    <cfRule type="expression" priority="10">
      <formula>MOD(E574:E1048156,2)&gt;0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2487-D285-4DF5-AEBC-15F2A26361F1}">
  <sheetPr>
    <tabColor theme="9" tint="0.59999389629810485"/>
  </sheetPr>
  <dimension ref="A1:Q27"/>
  <sheetViews>
    <sheetView topLeftCell="B1" zoomScaleNormal="100" workbookViewId="0">
      <pane xSplit="3" ySplit="1" topLeftCell="G2" activePane="bottomRight" state="frozen"/>
      <selection activeCell="C25" sqref="C25"/>
      <selection pane="topRight" activeCell="C25" sqref="C25"/>
      <selection pane="bottomLeft" activeCell="C25" sqref="C25"/>
      <selection pane="bottomRight" activeCell="I8" sqref="I8"/>
    </sheetView>
  </sheetViews>
  <sheetFormatPr defaultColWidth="9.15234375" defaultRowHeight="15.9" x14ac:dyDescent="0.45"/>
  <cols>
    <col min="1" max="1" width="9.15234375" style="13"/>
    <col min="2" max="2" width="14.23046875" style="13" bestFit="1" customWidth="1"/>
    <col min="3" max="3" width="43.53515625" style="15" bestFit="1" customWidth="1"/>
    <col min="4" max="4" width="19.15234375" style="15" bestFit="1" customWidth="1"/>
    <col min="5" max="5" width="14.15234375" style="16" bestFit="1" customWidth="1"/>
    <col min="6" max="6" width="13.4609375" style="16" bestFit="1" customWidth="1"/>
    <col min="7" max="7" width="39.3046875" style="23" bestFit="1" customWidth="1"/>
    <col min="8" max="8" width="19.69140625" style="17" bestFit="1" customWidth="1"/>
    <col min="9" max="9" width="16.53515625" style="17" bestFit="1" customWidth="1"/>
    <col min="10" max="10" width="19.3828125" style="17" bestFit="1" customWidth="1"/>
    <col min="11" max="11" width="25.07421875" style="17" bestFit="1" customWidth="1"/>
    <col min="12" max="12" width="11.3828125" style="17" bestFit="1" customWidth="1"/>
    <col min="13" max="13" width="16.3828125" style="17" bestFit="1" customWidth="1"/>
    <col min="14" max="14" width="28.53515625" style="17" bestFit="1" customWidth="1"/>
    <col min="15" max="15" width="18.84375" style="17" bestFit="1" customWidth="1"/>
    <col min="16" max="16" width="26.3828125" style="18" bestFit="1" customWidth="1"/>
    <col min="17" max="17" width="78.61328125" style="94" bestFit="1" customWidth="1"/>
    <col min="18" max="16384" width="9.15234375" style="13"/>
  </cols>
  <sheetData>
    <row r="1" spans="1:17" x14ac:dyDescent="0.45">
      <c r="B1" s="1" t="s">
        <v>0</v>
      </c>
      <c r="C1" s="1" t="s">
        <v>10</v>
      </c>
      <c r="D1" s="1" t="s">
        <v>9</v>
      </c>
      <c r="E1" s="2" t="s">
        <v>18</v>
      </c>
      <c r="F1" s="3" t="s">
        <v>19</v>
      </c>
      <c r="G1" s="22" t="s">
        <v>94</v>
      </c>
      <c r="H1" s="3" t="s">
        <v>12</v>
      </c>
      <c r="I1" s="4" t="s">
        <v>73</v>
      </c>
      <c r="J1" s="4" t="s">
        <v>1</v>
      </c>
      <c r="K1" s="4" t="s">
        <v>2</v>
      </c>
      <c r="L1" s="4" t="s">
        <v>3</v>
      </c>
      <c r="M1" s="4" t="s">
        <v>4</v>
      </c>
      <c r="N1" s="5" t="s">
        <v>5</v>
      </c>
      <c r="O1" s="5" t="s">
        <v>6</v>
      </c>
      <c r="P1" s="6" t="s">
        <v>7</v>
      </c>
      <c r="Q1" s="93" t="s">
        <v>8</v>
      </c>
    </row>
    <row r="2" spans="1:17" x14ac:dyDescent="0.45">
      <c r="B2" s="7"/>
      <c r="C2" s="12" t="s">
        <v>133</v>
      </c>
      <c r="D2" s="8" t="s">
        <v>34</v>
      </c>
      <c r="E2" s="21">
        <v>45658</v>
      </c>
      <c r="F2" s="21">
        <v>45900</v>
      </c>
      <c r="G2" s="8" t="s">
        <v>13</v>
      </c>
      <c r="H2" s="20">
        <v>3</v>
      </c>
      <c r="I2" s="11" t="s">
        <v>74</v>
      </c>
      <c r="J2" s="11"/>
      <c r="K2" s="11"/>
      <c r="L2" s="11"/>
      <c r="M2" s="11"/>
      <c r="N2" s="9" t="e">
        <f t="shared" ref="N2:P9" si="0">K2/J2</f>
        <v>#DIV/0!</v>
      </c>
      <c r="O2" s="10" t="e">
        <f t="shared" si="0"/>
        <v>#DIV/0!</v>
      </c>
      <c r="P2" s="9" t="e">
        <f>M2/L2</f>
        <v>#DIV/0!</v>
      </c>
      <c r="Q2" s="26"/>
    </row>
    <row r="3" spans="1:17" x14ac:dyDescent="0.45">
      <c r="B3" s="7"/>
      <c r="C3" s="12" t="s">
        <v>134</v>
      </c>
      <c r="D3" s="8" t="s">
        <v>34</v>
      </c>
      <c r="E3" s="21">
        <v>45763</v>
      </c>
      <c r="F3" s="21">
        <v>45930</v>
      </c>
      <c r="G3" s="8" t="s">
        <v>14</v>
      </c>
      <c r="H3" s="20">
        <v>1</v>
      </c>
      <c r="I3" s="11" t="s">
        <v>74</v>
      </c>
      <c r="J3" s="11"/>
      <c r="K3" s="11"/>
      <c r="L3" s="11"/>
      <c r="M3" s="11"/>
      <c r="N3" s="9" t="e">
        <f t="shared" si="0"/>
        <v>#DIV/0!</v>
      </c>
      <c r="O3" s="10" t="e">
        <f t="shared" si="0"/>
        <v>#DIV/0!</v>
      </c>
      <c r="P3" s="9" t="e">
        <f t="shared" si="0"/>
        <v>#DIV/0!</v>
      </c>
      <c r="Q3" s="26"/>
    </row>
    <row r="4" spans="1:17" x14ac:dyDescent="0.45">
      <c r="B4" s="7"/>
      <c r="C4" s="12" t="s">
        <v>136</v>
      </c>
      <c r="D4" s="8" t="s">
        <v>33</v>
      </c>
      <c r="E4" s="21">
        <v>45658</v>
      </c>
      <c r="F4" s="21">
        <v>46022</v>
      </c>
      <c r="G4" s="8" t="s">
        <v>21</v>
      </c>
      <c r="H4" s="20">
        <v>11</v>
      </c>
      <c r="I4" s="11" t="s">
        <v>74</v>
      </c>
      <c r="J4" s="7"/>
      <c r="K4" s="7"/>
      <c r="L4" s="7"/>
      <c r="M4" s="7"/>
      <c r="N4" s="9" t="e">
        <f t="shared" si="0"/>
        <v>#DIV/0!</v>
      </c>
      <c r="O4" s="10" t="e">
        <f t="shared" si="0"/>
        <v>#DIV/0!</v>
      </c>
      <c r="P4" s="9" t="e">
        <f t="shared" si="0"/>
        <v>#DIV/0!</v>
      </c>
      <c r="Q4" s="26"/>
    </row>
    <row r="5" spans="1:17" x14ac:dyDescent="0.45">
      <c r="A5" s="14"/>
      <c r="B5" s="7"/>
      <c r="C5" s="12" t="s">
        <v>137</v>
      </c>
      <c r="D5" s="8" t="s">
        <v>33</v>
      </c>
      <c r="E5" s="21">
        <v>45658</v>
      </c>
      <c r="F5" s="21">
        <v>45838</v>
      </c>
      <c r="G5" s="8" t="s">
        <v>20</v>
      </c>
      <c r="H5" s="20">
        <v>39</v>
      </c>
      <c r="I5" s="11" t="s">
        <v>74</v>
      </c>
      <c r="J5" s="7"/>
      <c r="K5" s="7"/>
      <c r="L5" s="7"/>
      <c r="M5" s="7"/>
      <c r="N5" s="9" t="e">
        <f t="shared" si="0"/>
        <v>#DIV/0!</v>
      </c>
      <c r="O5" s="10" t="e">
        <f t="shared" si="0"/>
        <v>#DIV/0!</v>
      </c>
      <c r="P5" s="9" t="e">
        <f t="shared" si="0"/>
        <v>#DIV/0!</v>
      </c>
      <c r="Q5" s="26"/>
    </row>
    <row r="6" spans="1:17" x14ac:dyDescent="0.45">
      <c r="B6" s="7"/>
      <c r="C6" s="12" t="s">
        <v>139</v>
      </c>
      <c r="D6" s="8" t="s">
        <v>33</v>
      </c>
      <c r="E6" s="21">
        <v>45658</v>
      </c>
      <c r="F6" s="21">
        <v>46022</v>
      </c>
      <c r="G6" s="8" t="s">
        <v>15</v>
      </c>
      <c r="H6" s="20">
        <v>16</v>
      </c>
      <c r="I6" s="7" t="s">
        <v>74</v>
      </c>
      <c r="J6" s="7"/>
      <c r="K6" s="7"/>
      <c r="L6" s="7"/>
      <c r="M6" s="7"/>
      <c r="N6" s="9" t="e">
        <f t="shared" si="0"/>
        <v>#DIV/0!</v>
      </c>
      <c r="O6" s="10" t="e">
        <f t="shared" si="0"/>
        <v>#DIV/0!</v>
      </c>
      <c r="P6" s="9" t="e">
        <f t="shared" si="0"/>
        <v>#DIV/0!</v>
      </c>
      <c r="Q6" s="26"/>
    </row>
    <row r="7" spans="1:17" x14ac:dyDescent="0.45">
      <c r="B7" s="7"/>
      <c r="C7" s="12" t="s">
        <v>140</v>
      </c>
      <c r="D7" s="8" t="s">
        <v>33</v>
      </c>
      <c r="E7" s="21">
        <v>45658</v>
      </c>
      <c r="F7" s="21">
        <v>45838</v>
      </c>
      <c r="G7" s="8" t="s">
        <v>15</v>
      </c>
      <c r="H7" s="20">
        <v>3</v>
      </c>
      <c r="I7" s="27" t="s">
        <v>74</v>
      </c>
      <c r="J7" s="7"/>
      <c r="K7" s="7"/>
      <c r="L7" s="7"/>
      <c r="M7" s="7"/>
      <c r="N7" s="9" t="e">
        <f t="shared" si="0"/>
        <v>#DIV/0!</v>
      </c>
      <c r="O7" s="10" t="e">
        <f t="shared" si="0"/>
        <v>#DIV/0!</v>
      </c>
      <c r="P7" s="9" t="e">
        <f t="shared" si="0"/>
        <v>#DIV/0!</v>
      </c>
      <c r="Q7" s="26"/>
    </row>
    <row r="8" spans="1:17" x14ac:dyDescent="0.45">
      <c r="B8" s="7"/>
      <c r="C8" s="12" t="s">
        <v>142</v>
      </c>
      <c r="D8" s="8" t="s">
        <v>141</v>
      </c>
      <c r="E8" s="21">
        <v>45658</v>
      </c>
      <c r="F8" s="21">
        <v>46022</v>
      </c>
      <c r="G8" s="8" t="s">
        <v>16</v>
      </c>
      <c r="H8" s="20">
        <v>6</v>
      </c>
      <c r="I8" s="7" t="s">
        <v>74</v>
      </c>
      <c r="J8" s="7">
        <v>148</v>
      </c>
      <c r="K8" s="7">
        <v>143</v>
      </c>
      <c r="L8" s="7">
        <v>7</v>
      </c>
      <c r="M8" s="7">
        <v>6</v>
      </c>
      <c r="N8" s="9">
        <f t="shared" si="0"/>
        <v>0.96621621621621623</v>
      </c>
      <c r="O8" s="10">
        <f t="shared" si="0"/>
        <v>4.8951048951048952E-2</v>
      </c>
      <c r="P8" s="9">
        <f t="shared" si="0"/>
        <v>0.8571428571428571</v>
      </c>
      <c r="Q8" s="26"/>
    </row>
    <row r="9" spans="1:17" x14ac:dyDescent="0.45">
      <c r="B9" s="116"/>
      <c r="C9" s="117" t="s">
        <v>145</v>
      </c>
      <c r="D9" s="117" t="s">
        <v>144</v>
      </c>
      <c r="E9" s="118"/>
      <c r="F9" s="118"/>
      <c r="G9" s="119"/>
      <c r="H9" s="27">
        <v>9</v>
      </c>
      <c r="I9" s="27" t="s">
        <v>74</v>
      </c>
      <c r="J9" s="27"/>
      <c r="K9" s="27"/>
      <c r="L9" s="27"/>
      <c r="M9" s="27"/>
      <c r="N9" s="9" t="e">
        <f t="shared" si="0"/>
        <v>#DIV/0!</v>
      </c>
      <c r="O9" s="10" t="e">
        <f t="shared" si="0"/>
        <v>#DIV/0!</v>
      </c>
      <c r="P9" s="120" t="e">
        <f t="shared" si="0"/>
        <v>#DIV/0!</v>
      </c>
      <c r="Q9" s="121"/>
    </row>
    <row r="15" spans="1:17" x14ac:dyDescent="0.45">
      <c r="M15" s="19"/>
    </row>
    <row r="16" spans="1:17" x14ac:dyDescent="0.45">
      <c r="L16" s="54"/>
      <c r="O16" s="18"/>
    </row>
    <row r="17" spans="10:15" x14ac:dyDescent="0.45">
      <c r="J17" s="53"/>
      <c r="L17" s="54"/>
      <c r="O17" s="18"/>
    </row>
    <row r="18" spans="10:15" x14ac:dyDescent="0.45">
      <c r="J18" s="53"/>
      <c r="L18" s="54"/>
      <c r="O18" s="18"/>
    </row>
    <row r="19" spans="10:15" x14ac:dyDescent="0.45">
      <c r="J19" s="53"/>
      <c r="L19" s="54"/>
      <c r="O19" s="18"/>
    </row>
    <row r="20" spans="10:15" x14ac:dyDescent="0.45">
      <c r="J20" s="53"/>
      <c r="L20" s="54"/>
      <c r="O20" s="18"/>
    </row>
    <row r="21" spans="10:15" x14ac:dyDescent="0.45">
      <c r="J21" s="53"/>
      <c r="O21" s="18"/>
    </row>
    <row r="22" spans="10:15" x14ac:dyDescent="0.45">
      <c r="J22" s="53"/>
      <c r="L22" s="19"/>
      <c r="O22" s="56"/>
    </row>
    <row r="24" spans="10:15" x14ac:dyDescent="0.45">
      <c r="K24"/>
      <c r="L24"/>
    </row>
    <row r="25" spans="10:15" x14ac:dyDescent="0.45">
      <c r="K25"/>
      <c r="L25"/>
    </row>
    <row r="26" spans="10:15" x14ac:dyDescent="0.45">
      <c r="K26"/>
      <c r="L26"/>
    </row>
    <row r="27" spans="10:15" x14ac:dyDescent="0.45">
      <c r="L27"/>
    </row>
  </sheetData>
  <autoFilter ref="A1:Q1" xr:uid="{A0499EC0-9336-4A43-84AD-C0713E773EA7}"/>
  <conditionalFormatting sqref="B1:B1048576">
    <cfRule type="duplicateValues" dxfId="1" priority="1"/>
  </conditionalFormatting>
  <conditionalFormatting sqref="E2:F5 E8:F8">
    <cfRule type="expression" priority="3">
      <formula>MOD(E570:E1048152,2)&gt;0</formula>
    </cfRule>
  </conditionalFormatting>
  <conditionalFormatting sqref="E2:F8">
    <cfRule type="expression" dxfId="0" priority="5">
      <formula xml:space="preserve"> MOD(E:E/2,1)&gt;0</formula>
    </cfRule>
  </conditionalFormatting>
  <conditionalFormatting sqref="E6:F7">
    <cfRule type="expression" priority="4">
      <formula>MOD(E576:E1048158,2)&gt;0</formula>
    </cfRule>
  </conditionalFormatting>
  <conditionalFormatting sqref="E6:F8">
    <cfRule type="expression" priority="2">
      <formula>MOD(E575:E1048157,2)&gt;0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D1CB-3B93-4D65-9BFE-46A113D9F0AD}">
  <sheetPr>
    <tabColor rgb="FF00B0F0"/>
  </sheetPr>
  <dimension ref="B3:F20"/>
  <sheetViews>
    <sheetView zoomScaleNormal="100" workbookViewId="0">
      <selection activeCell="C18" sqref="C18:E18"/>
    </sheetView>
  </sheetViews>
  <sheetFormatPr defaultRowHeight="14.6" x14ac:dyDescent="0.4"/>
  <cols>
    <col min="1" max="1" width="9.61328125" customWidth="1"/>
    <col min="2" max="2" width="18.23046875" customWidth="1"/>
    <col min="3" max="3" width="48.53515625" bestFit="1" customWidth="1"/>
    <col min="4" max="4" width="27" customWidth="1"/>
    <col min="5" max="5" width="33.53515625" bestFit="1" customWidth="1"/>
    <col min="6" max="6" width="20.07421875" customWidth="1"/>
  </cols>
  <sheetData>
    <row r="3" spans="2:5" ht="39.450000000000003" customHeight="1" x14ac:dyDescent="0.4">
      <c r="B3" s="98" t="s">
        <v>112</v>
      </c>
      <c r="C3" s="99"/>
      <c r="D3" s="99"/>
      <c r="E3" s="100"/>
    </row>
    <row r="4" spans="2:5" ht="45.45" customHeight="1" x14ac:dyDescent="0.4">
      <c r="B4" s="49" t="s">
        <v>75</v>
      </c>
      <c r="C4" s="101" t="s">
        <v>131</v>
      </c>
      <c r="D4" s="101"/>
      <c r="E4" s="101"/>
    </row>
    <row r="5" spans="2:5" ht="42.45" customHeight="1" x14ac:dyDescent="0.4">
      <c r="B5" s="49" t="s">
        <v>74</v>
      </c>
      <c r="C5" s="101" t="s">
        <v>113</v>
      </c>
      <c r="D5" s="101"/>
      <c r="E5" s="101"/>
    </row>
    <row r="8" spans="2:5" x14ac:dyDescent="0.4">
      <c r="B8" s="84" t="s">
        <v>111</v>
      </c>
    </row>
    <row r="9" spans="2:5" ht="15.9" x14ac:dyDescent="0.4">
      <c r="B9" s="102" t="s">
        <v>110</v>
      </c>
      <c r="C9" s="95" t="s">
        <v>122</v>
      </c>
      <c r="D9" s="102" t="s">
        <v>117</v>
      </c>
      <c r="E9" s="102"/>
    </row>
    <row r="10" spans="2:5" ht="16.3" thickBot="1" x14ac:dyDescent="0.45">
      <c r="B10" s="103"/>
      <c r="C10" s="96" t="s">
        <v>123</v>
      </c>
      <c r="D10" s="96" t="s">
        <v>109</v>
      </c>
      <c r="E10" s="96" t="s">
        <v>108</v>
      </c>
    </row>
    <row r="11" spans="2:5" ht="27.9" customHeight="1" x14ac:dyDescent="0.4">
      <c r="B11" s="76" t="s">
        <v>107</v>
      </c>
      <c r="C11" s="74" t="s">
        <v>114</v>
      </c>
      <c r="D11" s="104" t="s">
        <v>119</v>
      </c>
      <c r="E11" s="104"/>
    </row>
    <row r="12" spans="2:5" ht="24.9" customHeight="1" x14ac:dyDescent="0.4">
      <c r="B12" s="77" t="s">
        <v>106</v>
      </c>
      <c r="C12" s="27" t="s">
        <v>115</v>
      </c>
      <c r="D12" s="105" t="s">
        <v>120</v>
      </c>
      <c r="E12" s="105"/>
    </row>
    <row r="13" spans="2:5" ht="22.75" customHeight="1" x14ac:dyDescent="0.4">
      <c r="B13" s="78" t="s">
        <v>105</v>
      </c>
      <c r="C13" s="27" t="s">
        <v>116</v>
      </c>
      <c r="D13" s="105" t="s">
        <v>121</v>
      </c>
      <c r="E13" s="105"/>
    </row>
    <row r="17" spans="2:6" ht="15.9" customHeight="1" x14ac:dyDescent="0.4">
      <c r="B17" s="83" t="s">
        <v>118</v>
      </c>
      <c r="C17" s="81"/>
      <c r="D17" s="75"/>
      <c r="E17" s="75"/>
    </row>
    <row r="18" spans="2:6" ht="45" customHeight="1" x14ac:dyDescent="0.4">
      <c r="B18" s="82" t="s">
        <v>125</v>
      </c>
      <c r="C18" s="101" t="s">
        <v>124</v>
      </c>
      <c r="D18" s="101"/>
      <c r="E18" s="101"/>
      <c r="F18" s="92"/>
    </row>
    <row r="19" spans="2:6" ht="42.45" customHeight="1" x14ac:dyDescent="0.4">
      <c r="B19" s="82" t="s">
        <v>109</v>
      </c>
      <c r="C19" s="101" t="s">
        <v>126</v>
      </c>
      <c r="D19" s="101"/>
      <c r="E19" s="101"/>
      <c r="F19" s="92"/>
    </row>
    <row r="20" spans="2:6" ht="36.9" customHeight="1" x14ac:dyDescent="0.4">
      <c r="B20" s="82" t="s">
        <v>127</v>
      </c>
      <c r="C20" s="101" t="s">
        <v>128</v>
      </c>
      <c r="D20" s="101"/>
      <c r="E20" s="101"/>
      <c r="F20" s="92"/>
    </row>
  </sheetData>
  <mergeCells count="11">
    <mergeCell ref="B3:E3"/>
    <mergeCell ref="C18:E18"/>
    <mergeCell ref="C19:E19"/>
    <mergeCell ref="C20:E20"/>
    <mergeCell ref="B9:B10"/>
    <mergeCell ref="C4:E4"/>
    <mergeCell ref="C5:E5"/>
    <mergeCell ref="D9:E9"/>
    <mergeCell ref="D11:E11"/>
    <mergeCell ref="D12:E12"/>
    <mergeCell ref="D13:E1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AC06-4326-4C73-88F6-C2C35FD74AFB}">
  <sheetPr>
    <tabColor rgb="FF00B0F0"/>
  </sheetPr>
  <dimension ref="B2:H29"/>
  <sheetViews>
    <sheetView showGridLines="0" workbookViewId="0">
      <selection activeCell="I17" sqref="I17:I18"/>
    </sheetView>
  </sheetViews>
  <sheetFormatPr defaultColWidth="9.15234375" defaultRowHeight="15.9" x14ac:dyDescent="0.45"/>
  <cols>
    <col min="1" max="1" width="9.15234375" style="33"/>
    <col min="2" max="2" width="12.3046875" style="33" bestFit="1" customWidth="1"/>
    <col min="3" max="3" width="13.84375" style="33" bestFit="1" customWidth="1"/>
    <col min="4" max="4" width="8.3828125" style="34" customWidth="1"/>
    <col min="5" max="5" width="40.15234375" style="35" customWidth="1"/>
    <col min="6" max="6" width="17.3046875" style="36" customWidth="1"/>
    <col min="7" max="7" width="56.84375" style="33" customWidth="1"/>
    <col min="8" max="8" width="1.84375" style="33" bestFit="1" customWidth="1"/>
    <col min="9" max="16384" width="9.15234375" style="33"/>
  </cols>
  <sheetData>
    <row r="2" spans="2:8" x14ac:dyDescent="0.45">
      <c r="B2" s="110" t="s">
        <v>55</v>
      </c>
      <c r="C2" s="110"/>
      <c r="D2" s="110"/>
      <c r="E2" s="110"/>
      <c r="F2" s="110"/>
      <c r="G2" s="110"/>
      <c r="H2" s="33" t="s">
        <v>38</v>
      </c>
    </row>
    <row r="4" spans="2:8" x14ac:dyDescent="0.45">
      <c r="B4" s="49" t="s">
        <v>57</v>
      </c>
      <c r="C4" s="49"/>
      <c r="D4" s="28" t="s">
        <v>40</v>
      </c>
      <c r="E4" s="28" t="s">
        <v>58</v>
      </c>
      <c r="F4" s="29" t="s">
        <v>41</v>
      </c>
      <c r="G4" s="28" t="s">
        <v>42</v>
      </c>
    </row>
    <row r="5" spans="2:8" x14ac:dyDescent="0.45">
      <c r="B5" s="111" t="s">
        <v>54</v>
      </c>
      <c r="C5" s="50" t="s">
        <v>44</v>
      </c>
      <c r="D5" s="30"/>
      <c r="E5" s="27"/>
      <c r="F5" s="112"/>
      <c r="G5" s="113"/>
    </row>
    <row r="6" spans="2:8" x14ac:dyDescent="0.45">
      <c r="B6" s="111"/>
      <c r="C6" s="51" t="s">
        <v>46</v>
      </c>
      <c r="D6" s="30"/>
      <c r="E6" s="27"/>
      <c r="F6" s="112"/>
      <c r="G6" s="114"/>
    </row>
    <row r="7" spans="2:8" x14ac:dyDescent="0.45">
      <c r="B7" s="111"/>
      <c r="C7" s="52" t="s">
        <v>47</v>
      </c>
      <c r="D7" s="30"/>
      <c r="E7" s="27"/>
      <c r="F7" s="112"/>
      <c r="G7" s="114"/>
    </row>
    <row r="8" spans="2:8" x14ac:dyDescent="0.45">
      <c r="B8" s="111"/>
      <c r="C8" s="28" t="s">
        <v>48</v>
      </c>
      <c r="D8" s="31"/>
      <c r="E8" s="32"/>
      <c r="F8" s="112"/>
      <c r="G8" s="114"/>
    </row>
    <row r="20" spans="2:7" x14ac:dyDescent="0.45">
      <c r="B20" s="48" t="s">
        <v>56</v>
      </c>
    </row>
    <row r="21" spans="2:7" x14ac:dyDescent="0.45">
      <c r="B21" s="37"/>
      <c r="C21" s="38"/>
      <c r="D21" s="39" t="s">
        <v>39</v>
      </c>
      <c r="E21" s="39" t="s">
        <v>40</v>
      </c>
      <c r="F21" s="40" t="s">
        <v>41</v>
      </c>
      <c r="G21" s="39" t="s">
        <v>42</v>
      </c>
    </row>
    <row r="22" spans="2:7" x14ac:dyDescent="0.45">
      <c r="B22" s="106" t="s">
        <v>43</v>
      </c>
      <c r="C22" s="41" t="s">
        <v>44</v>
      </c>
      <c r="D22" s="42">
        <v>11</v>
      </c>
      <c r="E22" s="38">
        <f>5+D24</f>
        <v>6</v>
      </c>
      <c r="F22" s="107">
        <f>E23/E22</f>
        <v>0.66666666666666663</v>
      </c>
      <c r="G22" s="115" t="s">
        <v>45</v>
      </c>
    </row>
    <row r="23" spans="2:7" x14ac:dyDescent="0.45">
      <c r="B23" s="106"/>
      <c r="C23" s="43" t="s">
        <v>46</v>
      </c>
      <c r="D23" s="42">
        <v>10</v>
      </c>
      <c r="E23" s="38">
        <v>4</v>
      </c>
      <c r="F23" s="107"/>
      <c r="G23" s="109"/>
    </row>
    <row r="24" spans="2:7" x14ac:dyDescent="0.45">
      <c r="B24" s="106"/>
      <c r="C24" s="44" t="s">
        <v>47</v>
      </c>
      <c r="D24" s="42">
        <v>1</v>
      </c>
      <c r="E24" s="38">
        <f>E22-E23</f>
        <v>2</v>
      </c>
      <c r="F24" s="107"/>
      <c r="G24" s="109"/>
    </row>
    <row r="25" spans="2:7" ht="176.25" customHeight="1" x14ac:dyDescent="0.45">
      <c r="B25" s="106"/>
      <c r="C25" s="45" t="s">
        <v>48</v>
      </c>
      <c r="D25" s="45"/>
      <c r="E25" s="46" t="s">
        <v>49</v>
      </c>
      <c r="F25" s="107"/>
      <c r="G25" s="109"/>
    </row>
    <row r="26" spans="2:7" x14ac:dyDescent="0.45">
      <c r="B26" s="106" t="s">
        <v>50</v>
      </c>
      <c r="C26" s="41" t="s">
        <v>44</v>
      </c>
      <c r="D26" s="42">
        <v>9</v>
      </c>
      <c r="E26" s="38">
        <f>3+D28-5</f>
        <v>6</v>
      </c>
      <c r="F26" s="107">
        <f>E27/E26</f>
        <v>0.66666666666666663</v>
      </c>
      <c r="G26" s="108" t="s">
        <v>51</v>
      </c>
    </row>
    <row r="27" spans="2:7" x14ac:dyDescent="0.45">
      <c r="B27" s="106"/>
      <c r="C27" s="43" t="s">
        <v>46</v>
      </c>
      <c r="D27" s="42">
        <v>1</v>
      </c>
      <c r="E27" s="38">
        <v>4</v>
      </c>
      <c r="F27" s="107"/>
      <c r="G27" s="109"/>
    </row>
    <row r="28" spans="2:7" x14ac:dyDescent="0.45">
      <c r="B28" s="106"/>
      <c r="C28" s="44" t="s">
        <v>47</v>
      </c>
      <c r="D28" s="42">
        <v>8</v>
      </c>
      <c r="E28" s="38">
        <f>E26-E27</f>
        <v>2</v>
      </c>
      <c r="F28" s="107"/>
      <c r="G28" s="109"/>
    </row>
    <row r="29" spans="2:7" ht="63.45" x14ac:dyDescent="0.45">
      <c r="B29" s="106"/>
      <c r="C29" s="38" t="s">
        <v>48</v>
      </c>
      <c r="D29" s="42" t="s">
        <v>52</v>
      </c>
      <c r="E29" s="47" t="s">
        <v>53</v>
      </c>
      <c r="F29" s="107"/>
      <c r="G29" s="109"/>
    </row>
  </sheetData>
  <mergeCells count="10">
    <mergeCell ref="B26:B29"/>
    <mergeCell ref="F26:F29"/>
    <mergeCell ref="G26:G29"/>
    <mergeCell ref="B2:G2"/>
    <mergeCell ref="B5:B8"/>
    <mergeCell ref="F5:F8"/>
    <mergeCell ref="G5:G8"/>
    <mergeCell ref="B22:B25"/>
    <mergeCell ref="F22:F25"/>
    <mergeCell ref="G22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</vt:lpstr>
      <vt:lpstr>January</vt:lpstr>
      <vt:lpstr>February</vt:lpstr>
      <vt:lpstr>March</vt:lpstr>
      <vt:lpstr>April</vt:lpstr>
      <vt:lpstr>May</vt:lpstr>
      <vt:lpstr>June</vt:lpstr>
      <vt:lpstr>July</vt:lpstr>
      <vt:lpstr>Quality Metrics</vt:lpstr>
      <vt:lpstr>Project Kickoff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Mahfudin</dc:creator>
  <cp:lastModifiedBy>Mahfudin</cp:lastModifiedBy>
  <dcterms:created xsi:type="dcterms:W3CDTF">2025-07-08T07:30:14Z</dcterms:created>
  <dcterms:modified xsi:type="dcterms:W3CDTF">2025-07-31T10:20:49Z</dcterms:modified>
</cp:coreProperties>
</file>