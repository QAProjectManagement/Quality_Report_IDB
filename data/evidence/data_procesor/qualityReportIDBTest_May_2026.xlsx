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GSM065\Music\Quality_Report_IDB\data\evidence\data_procesor\"/>
    </mc:Choice>
  </mc:AlternateContent>
  <xr:revisionPtr revIDLastSave="0" documentId="13_ncr:1_{BC6681B2-C73F-4B3C-9AD6-E81FC12A6BA6}" xr6:coauthVersionLast="47" xr6:coauthVersionMax="47" xr10:uidLastSave="{00000000-0000-0000-0000-000000000000}"/>
  <bookViews>
    <workbookView xWindow="-110" yWindow="-110" windowWidth="29020" windowHeight="17500" activeTab="2" xr2:uid="{1BFDC0BB-3264-4789-A41B-B16DE7BD9ED5}"/>
  </bookViews>
  <sheets>
    <sheet name="SI" sheetId="13" r:id="rId1"/>
    <sheet name="January" sheetId="10" r:id="rId2"/>
    <sheet name="February" sheetId="16" r:id="rId3"/>
    <sheet name="Sheet1" sheetId="17" state="hidden" r:id="rId4"/>
    <sheet name="March" sheetId="18" r:id="rId5"/>
    <sheet name="April" sheetId="19" r:id="rId6"/>
    <sheet name="May" sheetId="20" r:id="rId7"/>
    <sheet name="Quality Metrics" sheetId="15" r:id="rId8"/>
  </sheets>
  <definedNames>
    <definedName name="_xlnm._FilterDatabase" localSheetId="5" hidden="1">April!$A$1:$Q$1</definedName>
    <definedName name="_xlnm._FilterDatabase" localSheetId="2" hidden="1">February!$A$1:$Q$1</definedName>
    <definedName name="_xlnm._FilterDatabase" localSheetId="1" hidden="1">January!$A$1:$Q$1</definedName>
    <definedName name="_xlnm._FilterDatabase" localSheetId="4" hidden="1">March!$A$1:$Q$1</definedName>
    <definedName name="_xlnm._FilterDatabase" localSheetId="6" hidden="1">May!$A$1:$Q$1</definedName>
    <definedName name="_xlnm._FilterDatabase" localSheetId="3" hidden="1">Sheet1!$A$2:$G$10</definedName>
    <definedName name="_xlnm._FilterDatabase" localSheetId="0" hidden="1">SI!$A$1:$R$7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8" l="1"/>
  <c r="K8" i="18"/>
  <c r="L8" i="18"/>
  <c r="M8" i="18"/>
  <c r="N3" i="20"/>
  <c r="O3" i="20"/>
  <c r="P3" i="20"/>
  <c r="N4" i="20"/>
  <c r="O4" i="20"/>
  <c r="P4" i="20"/>
  <c r="N5" i="20"/>
  <c r="O5" i="20"/>
  <c r="P5" i="20"/>
  <c r="N6" i="20"/>
  <c r="O6" i="20"/>
  <c r="P6" i="20"/>
  <c r="N7" i="20"/>
  <c r="O7" i="20"/>
  <c r="P7" i="20"/>
  <c r="N8" i="20"/>
  <c r="O8" i="20"/>
  <c r="P8" i="20"/>
  <c r="N9" i="20"/>
  <c r="O9" i="20"/>
  <c r="P9" i="20"/>
  <c r="N10" i="20"/>
  <c r="O10" i="20"/>
  <c r="P10" i="20"/>
  <c r="P2" i="20"/>
  <c r="O2" i="20"/>
  <c r="N2" i="20"/>
  <c r="J3" i="20"/>
  <c r="K3" i="20"/>
  <c r="L3" i="20"/>
  <c r="M3" i="20"/>
  <c r="J9" i="20"/>
  <c r="K9" i="20"/>
  <c r="L9" i="20"/>
  <c r="M9" i="20"/>
  <c r="J10" i="20"/>
  <c r="K10" i="20"/>
  <c r="L10" i="20"/>
  <c r="M10" i="20"/>
  <c r="K2" i="20"/>
  <c r="L2" i="20"/>
  <c r="M2" i="20"/>
  <c r="J2" i="20"/>
  <c r="J3" i="19"/>
  <c r="K3" i="19"/>
  <c r="L3" i="19"/>
  <c r="M3" i="19"/>
  <c r="J9" i="19"/>
  <c r="K9" i="19"/>
  <c r="L9" i="19"/>
  <c r="M9" i="19"/>
  <c r="J10" i="19"/>
  <c r="K10" i="19"/>
  <c r="L10" i="19"/>
  <c r="M10" i="19"/>
  <c r="K2" i="19"/>
  <c r="L2" i="19"/>
  <c r="M2" i="19"/>
  <c r="J2" i="19"/>
  <c r="J9" i="18"/>
  <c r="K9" i="18"/>
  <c r="L9" i="18"/>
  <c r="M9" i="18"/>
  <c r="K2" i="18"/>
  <c r="L2" i="18"/>
  <c r="M2" i="18"/>
  <c r="J2" i="18"/>
  <c r="N3" i="19"/>
  <c r="O3" i="19"/>
  <c r="P3" i="19"/>
  <c r="P10" i="19" l="1"/>
  <c r="O10" i="19"/>
  <c r="N10" i="19"/>
  <c r="P9" i="19"/>
  <c r="O9" i="19"/>
  <c r="N9" i="19"/>
  <c r="P8" i="19"/>
  <c r="O8" i="19"/>
  <c r="N8" i="19"/>
  <c r="P7" i="19"/>
  <c r="O7" i="19"/>
  <c r="N7" i="19"/>
  <c r="P6" i="19"/>
  <c r="O6" i="19"/>
  <c r="N6" i="19"/>
  <c r="P5" i="19"/>
  <c r="O5" i="19"/>
  <c r="N5" i="19"/>
  <c r="P4" i="19"/>
  <c r="O4" i="19"/>
  <c r="N4" i="19"/>
  <c r="P2" i="19"/>
  <c r="O2" i="19"/>
  <c r="N2" i="19"/>
  <c r="P9" i="18"/>
  <c r="O9" i="18"/>
  <c r="N9" i="18"/>
  <c r="P8" i="18"/>
  <c r="O8" i="18"/>
  <c r="N8" i="18"/>
  <c r="P7" i="18"/>
  <c r="O7" i="18"/>
  <c r="N7" i="18"/>
  <c r="P6" i="18"/>
  <c r="O6" i="18"/>
  <c r="N6" i="18"/>
  <c r="P5" i="18"/>
  <c r="O5" i="18"/>
  <c r="N5" i="18"/>
  <c r="P4" i="18"/>
  <c r="O4" i="18"/>
  <c r="N4" i="18"/>
  <c r="P3" i="18"/>
  <c r="O3" i="18"/>
  <c r="N3" i="18"/>
  <c r="P2" i="18"/>
  <c r="O2" i="18"/>
  <c r="N2" i="18"/>
  <c r="N2" i="16"/>
  <c r="O2" i="16"/>
  <c r="P2" i="16"/>
  <c r="N3" i="16"/>
  <c r="O3" i="16"/>
  <c r="P3" i="16"/>
  <c r="N4" i="16"/>
  <c r="O4" i="16"/>
  <c r="P4" i="16"/>
  <c r="N5" i="16"/>
  <c r="O5" i="16"/>
  <c r="P5" i="16"/>
  <c r="N6" i="16"/>
  <c r="O6" i="16"/>
  <c r="P6" i="16"/>
  <c r="N7" i="16"/>
  <c r="O7" i="16"/>
  <c r="P7" i="16"/>
  <c r="N8" i="16"/>
  <c r="O8" i="16"/>
  <c r="P8" i="16"/>
  <c r="N9" i="16"/>
  <c r="O9" i="16"/>
  <c r="P9" i="16"/>
  <c r="P9" i="10"/>
  <c r="O9" i="10"/>
  <c r="N9" i="10"/>
  <c r="P8" i="10"/>
  <c r="O8" i="10"/>
  <c r="N8" i="10"/>
  <c r="P7" i="10"/>
  <c r="O7" i="10"/>
  <c r="N7" i="10"/>
  <c r="P6" i="10"/>
  <c r="O6" i="10"/>
  <c r="N6" i="10"/>
  <c r="P5" i="10"/>
  <c r="O5" i="10"/>
  <c r="N5" i="10"/>
  <c r="P4" i="10"/>
  <c r="O4" i="10"/>
  <c r="N4" i="10"/>
  <c r="P3" i="10"/>
  <c r="O3" i="10"/>
  <c r="N3" i="10"/>
  <c r="P2" i="10"/>
  <c r="O2" i="10"/>
  <c r="N2" i="10"/>
  <c r="Q11" i="13" l="1"/>
  <c r="P11" i="13"/>
  <c r="O11" i="13"/>
  <c r="Q9" i="13"/>
  <c r="P9" i="13"/>
  <c r="O9" i="13"/>
  <c r="Q6" i="13"/>
  <c r="P6" i="13"/>
  <c r="O6" i="13"/>
  <c r="Q10" i="13"/>
  <c r="P10" i="13"/>
  <c r="O10" i="13"/>
  <c r="Q5" i="13"/>
  <c r="P5" i="13"/>
  <c r="O5" i="13"/>
  <c r="Q8" i="13"/>
  <c r="P8" i="13"/>
  <c r="O8" i="13"/>
  <c r="Q7" i="13"/>
  <c r="P7" i="13"/>
  <c r="O7" i="13"/>
  <c r="Q4" i="13"/>
  <c r="P4" i="13"/>
  <c r="O4" i="13"/>
  <c r="Q3" i="13"/>
  <c r="P3" i="13"/>
  <c r="O3" i="13"/>
  <c r="Q2" i="13"/>
  <c r="P2" i="13"/>
  <c r="O2" i="13"/>
</calcChain>
</file>

<file path=xl/sharedStrings.xml><?xml version="1.0" encoding="utf-8"?>
<sst xmlns="http://schemas.openxmlformats.org/spreadsheetml/2006/main" count="346" uniqueCount="129">
  <si>
    <t>Project ID</t>
  </si>
  <si>
    <t xml:space="preserve"> Project Name</t>
  </si>
  <si>
    <t>IDB Team</t>
  </si>
  <si>
    <t>Start date</t>
  </si>
  <si>
    <t>End Date</t>
  </si>
  <si>
    <t>Project Leader or PIC</t>
  </si>
  <si>
    <t>No of Employee</t>
  </si>
  <si>
    <t>Project Type</t>
  </si>
  <si>
    <t>Sprint</t>
  </si>
  <si>
    <t>Sprint Schedule</t>
  </si>
  <si>
    <t>Total Workload</t>
  </si>
  <si>
    <t>Completed Workload</t>
  </si>
  <si>
    <t>Defect</t>
  </si>
  <si>
    <t>Fixed defect</t>
  </si>
  <si>
    <t>Function 
Fulfillment Rate</t>
  </si>
  <si>
    <t>Defect 
Density</t>
  </si>
  <si>
    <t>Defect 
Correction Rate</t>
  </si>
  <si>
    <t>Comment</t>
  </si>
  <si>
    <t>LGSM Career Job Portal</t>
  </si>
  <si>
    <t>[LGSM] Internal Project</t>
  </si>
  <si>
    <t>Sapta Sanjaya</t>
  </si>
  <si>
    <t>2 + SF Dev</t>
  </si>
  <si>
    <t>SI</t>
  </si>
  <si>
    <t>S#1</t>
  </si>
  <si>
    <t>2025-03-03 ~ 2025-03-26</t>
  </si>
  <si>
    <t>16 out of 18 tasks have been completed successfully. All 16 identified defects have been resolved.</t>
  </si>
  <si>
    <t>S#2</t>
  </si>
  <si>
    <t>2025-04-08 ~ 2025-05-02</t>
  </si>
  <si>
    <t>All tasks (11) have been completed. 6 defects were detected and have been fully fixed.</t>
  </si>
  <si>
    <t>S#3</t>
  </si>
  <si>
    <t>2025-05-05 ~ 2025-06-25</t>
  </si>
  <si>
    <t>2 Tasks and 2 Issues are carried over and completed on Sprint 4</t>
  </si>
  <si>
    <t>S#4</t>
  </si>
  <si>
    <t>2025-06-02 ~ 2025-07-02</t>
  </si>
  <si>
    <t>4 Tasks are carried over to Sprint 5. (3 completed, 1 carried over again to Sprint 6)</t>
  </si>
  <si>
    <t>S#5</t>
  </si>
  <si>
    <t>2025-07-02 ~ 2025-08-01</t>
  </si>
  <si>
    <t>10 Tasks and 4 Bugs are carried over to Sprint 6</t>
  </si>
  <si>
    <t>S#6</t>
  </si>
  <si>
    <t>12 Story and 5 taks have been completed , and 31 defect already fixed.
this is last sprint before Job portal going to System Maintenance (SM) project.</t>
  </si>
  <si>
    <t>SF Intelligence Unit Testing Project</t>
  </si>
  <si>
    <t>[GDC] Smart Factory</t>
  </si>
  <si>
    <t>Ninan Kara Gicha Nasution</t>
  </si>
  <si>
    <t>2 Tester</t>
  </si>
  <si>
    <t xml:space="preserve"> 2025-04-21 ~ 2025-04-25</t>
  </si>
  <si>
    <t>Sprint #1 - Testing Scenario: Scenario received on May 25, completed on June 25
Total scenarios: 269
Executed: 265
In Progress: 0
Passed: 222
Failed: 41</t>
  </si>
  <si>
    <t>Sprint #2
Total scenarios: 855
Executed: 828
Passed: 776
Failed: 28
Blocked : 24
Untested : 27</t>
  </si>
  <si>
    <t xml:space="preserve"> 2025-06-30 ~ 2025-08-14</t>
  </si>
  <si>
    <t>Sprint #3
Total scenarios: 730
Executed: 729
Passed: 729
Failed: 1</t>
  </si>
  <si>
    <t>[Bank Sinarmas] Provision of Card Management System Services</t>
  </si>
  <si>
    <t>[LDC] Bank Sinarmas</t>
  </si>
  <si>
    <t>Andini Margaretta Tarigan</t>
  </si>
  <si>
    <t xml:space="preserve"> 2025-09-01 ~ 2025-10-03</t>
  </si>
  <si>
    <r>
      <rPr>
        <b/>
        <sz val="10"/>
        <color rgb="FF000000"/>
        <rFont val="LG Smart_H Regular"/>
        <family val="2"/>
      </rPr>
      <t xml:space="preserve">[Cumulative]
</t>
    </r>
    <r>
      <rPr>
        <sz val="10"/>
        <color rgb="FF000000"/>
        <rFont val="LG Smart_H Regular"/>
        <family val="2"/>
      </rPr>
      <t xml:space="preserve">- Authorization/Common part : Plan = 72 | Actual = 77
- Front part : Plan = 70 | Actual = 92
- Back-end part : Plan = 73 | Actual = 72 (There was a delay in reflecting the brand incoming file due to work reference checks)
</t>
    </r>
    <r>
      <rPr>
        <b/>
        <sz val="10"/>
        <color rgb="FF000000"/>
        <rFont val="LG Smart_H Regular"/>
        <family val="2"/>
      </rPr>
      <t>Overall Progress = 37.8%</t>
    </r>
  </si>
  <si>
    <t xml:space="preserve"> 2025-10-04 ~ 2025-12-04</t>
  </si>
  <si>
    <t>0,00</t>
  </si>
  <si>
    <t>N/A</t>
  </si>
  <si>
    <t>[Cumulative Progress]
- Authorization/Common part : Plan = 199 | Actual = 203
- Front part : Plan = 184 | Actual = 181
- Back-end part : Plan = 192 | Actual = 188
- Bank Sinarmas : Plan = 104 | Actual = 87
Overall Progress = 91%</t>
  </si>
  <si>
    <t>Productivity Rate Rate</t>
  </si>
  <si>
    <t>Defect Density</t>
  </si>
  <si>
    <t>Defect Correction Rate</t>
  </si>
  <si>
    <t>SM</t>
  </si>
  <si>
    <t>SF Core Unit 2025</t>
  </si>
  <si>
    <t>SF Automation 2025</t>
  </si>
  <si>
    <t>SINGLEX Business Unit Testing Project</t>
  </si>
  <si>
    <t>Purchasing Enhancement Project</t>
  </si>
  <si>
    <t>KB Bank System Maintenance</t>
  </si>
  <si>
    <t>Project evaluation will be conducted based on comprehensive "Project Quality Metrics," with the update frequency and evaluation approach tailored to the project type:</t>
  </si>
  <si>
    <r>
      <t>For </t>
    </r>
    <r>
      <rPr>
        <b/>
        <sz val="12"/>
        <color rgb="FF000000"/>
        <rFont val="Noto Sans KR"/>
      </rPr>
      <t>SI (System Integration)</t>
    </r>
    <r>
      <rPr>
        <sz val="12"/>
        <color rgb="FF000000"/>
        <rFont val="Noto Sans KR"/>
      </rPr>
      <t> projects, which involve building a new system from scratch, evaluations will be updated after every sprint to closely monitor development progress, quality, and issue resolution during incremental delivery phases.</t>
    </r>
  </si>
  <si>
    <r>
      <t>For </t>
    </r>
    <r>
      <rPr>
        <b/>
        <sz val="12"/>
        <color rgb="FF000000"/>
        <rFont val="Noto Sans KR"/>
      </rPr>
      <t>SM (System Maintenance)</t>
    </r>
    <r>
      <rPr>
        <sz val="12"/>
        <color rgb="FF000000"/>
        <rFont val="Noto Sans KR"/>
      </rPr>
      <t> projects, focused on maintaining and improving existing systems, evaluations will be updated monthly, allowing a broader view of ongoing system health and maintenance activities over time.</t>
    </r>
  </si>
  <si>
    <t>Quality Metrics</t>
  </si>
  <si>
    <t>Indicator</t>
  </si>
  <si>
    <t>Productivity Rate</t>
  </si>
  <si>
    <t>Quality Rate</t>
  </si>
  <si>
    <t>Function Fulfilment Evaluation</t>
  </si>
  <si>
    <t>Bug Density</t>
  </si>
  <si>
    <t>Bug Correction Rate</t>
  </si>
  <si>
    <t>Risk</t>
  </si>
  <si>
    <t>Completed requests ≤ 70%</t>
  </si>
  <si>
    <r>
      <t xml:space="preserve">Bug density ≥ 3 </t>
    </r>
    <r>
      <rPr>
        <b/>
        <sz val="12"/>
        <color theme="1"/>
        <rFont val="Noto Sans KR"/>
        <family val="2"/>
      </rPr>
      <t>or</t>
    </r>
    <r>
      <rPr>
        <sz val="12"/>
        <color theme="1"/>
        <rFont val="Noto Sans KR"/>
        <family val="2"/>
      </rPr>
      <t xml:space="preserve"> Bug correction rate ≤ 70%</t>
    </r>
  </si>
  <si>
    <t>Issue</t>
  </si>
  <si>
    <t>Completed requests ≥ 70% and &lt; 80%</t>
  </si>
  <si>
    <r>
      <t xml:space="preserve">Bug density ≥ 2 </t>
    </r>
    <r>
      <rPr>
        <b/>
        <sz val="12"/>
        <color rgb="FF000000"/>
        <rFont val="Noto Sans KR"/>
      </rPr>
      <t>or</t>
    </r>
    <r>
      <rPr>
        <sz val="12"/>
        <color rgb="FF000000"/>
        <rFont val="Noto Sans KR"/>
      </rPr>
      <t xml:space="preserve"> Bug correction rate &gt; 70% and ≤ 80%</t>
    </r>
  </si>
  <si>
    <t>Standard</t>
  </si>
  <si>
    <t>Completed requests ≥ 80%</t>
  </si>
  <si>
    <r>
      <t xml:space="preserve">Bug density &lt; 2 </t>
    </r>
    <r>
      <rPr>
        <b/>
        <sz val="12"/>
        <color rgb="FF000000"/>
        <rFont val="Noto Sans KR"/>
      </rPr>
      <t>or</t>
    </r>
    <r>
      <rPr>
        <sz val="12"/>
        <color rgb="FF000000"/>
        <rFont val="Noto Sans KR"/>
      </rPr>
      <t xml:space="preserve"> Bug correction rate &gt; 80%</t>
    </r>
  </si>
  <si>
    <t>Metric Definitions and Impact on Project Types</t>
  </si>
  <si>
    <t xml:space="preserve">Functional Fulfillment: </t>
  </si>
  <si>
    <t>Measures how much of the requested functions have been completed relative to the total planned functions for the project or component.</t>
  </si>
  <si>
    <t>Number of bugs found relative to the size of the project/component - critical for both new development (SI) and ongoing maintenance (SM).</t>
  </si>
  <si>
    <t xml:space="preserve">Bug Correction Rate: </t>
  </si>
  <si>
    <t>Percentage of bugs fixed within the evaluated period, indicating responsiveness and maintenance quality.</t>
  </si>
  <si>
    <t>SF Manufacturing Quality AX RMS/MIMS Operation &amp; Development Team</t>
  </si>
  <si>
    <t>SF Manufacturing Quality AX Standard Report Utilization Team</t>
  </si>
  <si>
    <t>SF Process AX Team 2025</t>
  </si>
  <si>
    <t>SF Automation 2026</t>
  </si>
  <si>
    <t>SF Core Unit 2026</t>
  </si>
  <si>
    <t>SF Process AX Team 2026</t>
  </si>
  <si>
    <t>Week 1</t>
  </si>
  <si>
    <t>Cleaning Service Project</t>
  </si>
  <si>
    <t>25 - 31 Jan 26</t>
  </si>
  <si>
    <t>29 Jan - 04 Feb 26</t>
  </si>
  <si>
    <t>26 - 30 Jan 26</t>
  </si>
  <si>
    <t>23 - 29 Jan 26</t>
  </si>
  <si>
    <t>week 2</t>
  </si>
  <si>
    <t>05 - 11 Feb 26</t>
  </si>
  <si>
    <t>02 - 06 Feb 26</t>
  </si>
  <si>
    <t>06 - 12 Feb 26</t>
  </si>
  <si>
    <t>Week 3</t>
  </si>
  <si>
    <t>09 - 13 Feb 26</t>
  </si>
  <si>
    <t>12 - 18 Feb 26</t>
  </si>
  <si>
    <t>13 - 19 Feb 26</t>
  </si>
  <si>
    <t>Week 4</t>
  </si>
  <si>
    <t>15 - 21 Feb 26</t>
  </si>
  <si>
    <t>19 - 25 Feb 26</t>
  </si>
  <si>
    <t>16 - 20 Feb 26</t>
  </si>
  <si>
    <t>Total workload 96 (100% completed) with no defects recorded. Process execution is stable and compliant; however, ensure adequate testing coverage and defect logging to avoid potential under-reporting.</t>
  </si>
  <si>
    <r>
      <t xml:space="preserve">Total workload </t>
    </r>
    <r>
      <rPr>
        <b/>
        <sz val="11"/>
        <color theme="1"/>
        <rFont val="Aptos Narrow"/>
        <family val="2"/>
        <scheme val="minor"/>
      </rPr>
      <t>127 (94% completed)</t>
    </r>
    <r>
      <rPr>
        <sz val="11"/>
        <color theme="1"/>
        <rFont val="Aptos Narrow"/>
        <family val="2"/>
        <scheme val="minor"/>
      </rPr>
      <t xml:space="preserve"> with minimal defect (1) fully resolved (100% fix rate). Indicates controlled quality; recommend root cause analysis to prevent recurrence.</t>
    </r>
  </si>
  <si>
    <r>
      <t xml:space="preserve">Total workload </t>
    </r>
    <r>
      <rPr>
        <b/>
        <sz val="11"/>
        <color theme="1"/>
        <rFont val="Aptos Narrow"/>
        <family val="2"/>
        <scheme val="minor"/>
      </rPr>
      <t>8 (100% completed)</t>
    </r>
    <r>
      <rPr>
        <sz val="11"/>
        <color theme="1"/>
        <rFont val="Aptos Narrow"/>
        <family val="2"/>
        <scheme val="minor"/>
      </rPr>
      <t xml:space="preserve"> with zero defects. Execution appears stable; validate whether testing scope and defect tracking are sufficiently comprehensive.</t>
    </r>
  </si>
  <si>
    <r>
      <t xml:space="preserve">Total workload </t>
    </r>
    <r>
      <rPr>
        <b/>
        <sz val="11"/>
        <color theme="1"/>
        <rFont val="Aptos Narrow"/>
        <family val="2"/>
        <scheme val="minor"/>
      </rPr>
      <t>82 (100% completed)</t>
    </r>
    <r>
      <rPr>
        <sz val="11"/>
        <color theme="1"/>
        <rFont val="Aptos Narrow"/>
        <family val="2"/>
        <scheme val="minor"/>
      </rPr>
      <t xml:space="preserve"> with 3 defects, all resolved (100% fix rate). Defect density slightly higher but still acceptable; recommend monitoring for process improvement opportunities.</t>
    </r>
  </si>
  <si>
    <r>
      <t xml:space="preserve">Total workload </t>
    </r>
    <r>
      <rPr>
        <b/>
        <sz val="11"/>
        <color theme="1"/>
        <rFont val="Aptos Narrow"/>
        <family val="2"/>
        <scheme val="minor"/>
      </rPr>
      <t>98 (100% completed)</t>
    </r>
    <r>
      <rPr>
        <sz val="11"/>
        <color theme="1"/>
        <rFont val="Aptos Narrow"/>
        <family val="2"/>
        <scheme val="minor"/>
      </rPr>
      <t xml:space="preserve"> with no defects. Indicates smooth execution; ensure defect detection process remains effective and not under-reported.</t>
    </r>
  </si>
  <si>
    <r>
      <t xml:space="preserve">Total workload </t>
    </r>
    <r>
      <rPr>
        <b/>
        <sz val="11"/>
        <color theme="1"/>
        <rFont val="Aptos Narrow"/>
        <family val="2"/>
        <scheme val="minor"/>
      </rPr>
      <t>83 (100% completed)</t>
    </r>
    <r>
      <rPr>
        <sz val="11"/>
        <color theme="1"/>
        <rFont val="Aptos Narrow"/>
        <family val="2"/>
        <scheme val="minor"/>
      </rPr>
      <t xml:space="preserve"> with no defects. Stable maintenance execution; continue monitoring to ensure consistent defect identification and reporting.</t>
    </r>
  </si>
  <si>
    <r>
      <t xml:space="preserve">Total workload </t>
    </r>
    <r>
      <rPr>
        <b/>
        <sz val="11"/>
        <color theme="1"/>
        <rFont val="Aptos Narrow"/>
        <family val="2"/>
        <scheme val="minor"/>
      </rPr>
      <t>3 (100% completed)</t>
    </r>
    <r>
      <rPr>
        <sz val="11"/>
        <color theme="1"/>
        <rFont val="Aptos Narrow"/>
        <family val="2"/>
        <scheme val="minor"/>
      </rPr>
      <t xml:space="preserve"> No defects reported; requires review on progress constraints and testing effectiveness.</t>
    </r>
  </si>
  <si>
    <t>LGUS AWS MSP Project</t>
  </si>
  <si>
    <t>1 task is still in testing by korea team</t>
  </si>
  <si>
    <t>2 task in development , 4 task in testing by korea team</t>
  </si>
  <si>
    <t>1 task in development</t>
  </si>
  <si>
    <t>2 task still in code review, 4 task in progress</t>
  </si>
  <si>
    <r>
      <t>Total workload 97</t>
    </r>
    <r>
      <rPr>
        <b/>
        <sz val="11"/>
        <color theme="1"/>
        <rFont val="Aptos Narrow"/>
        <family val="2"/>
        <scheme val="minor"/>
      </rPr>
      <t xml:space="preserve"> (80% completed)</t>
    </r>
    <r>
      <rPr>
        <sz val="11"/>
        <color theme="1"/>
        <rFont val="Aptos Narrow"/>
        <family val="2"/>
        <scheme val="minor"/>
      </rPr>
      <t xml:space="preserve"> indicates delay risk. No defects reported so far; need to review workload completion drivers and ensure no gaps in defect identification during ongoing execution.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</si>
</sst>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_);[Red]\(0\)"/>
    <numFmt numFmtId="166" formatCode="[$-13809]d\ mmm\ yyyy;@"/>
  </numFmts>
  <fonts count="35">
    <font>
      <sz val="11"/>
      <color theme="1"/>
      <name val="Aptos Narrow"/>
      <family val="2"/>
      <scheme val="minor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Noto Sans KR"/>
      <family val="2"/>
    </font>
    <font>
      <sz val="10"/>
      <color rgb="FF000000"/>
      <name val="Noto Sans KR"/>
      <family val="2"/>
    </font>
    <font>
      <sz val="11"/>
      <color theme="1"/>
      <name val="LG Smart_H Regular"/>
      <family val="2"/>
    </font>
    <font>
      <sz val="11"/>
      <color rgb="FF000000"/>
      <name val="LG Smart_H Regular"/>
      <family val="2"/>
    </font>
    <font>
      <b/>
      <sz val="12"/>
      <color theme="1"/>
      <name val="Noto Sans KR"/>
      <family val="2"/>
    </font>
    <font>
      <sz val="12"/>
      <color theme="1"/>
      <name val="Noto Sans KR"/>
      <family val="2"/>
    </font>
    <font>
      <b/>
      <i/>
      <sz val="12"/>
      <color theme="1"/>
      <name val="Noto Sans KR"/>
      <family val="2"/>
    </font>
    <font>
      <i/>
      <sz val="12"/>
      <color theme="1"/>
      <name val="Noto Sans KR"/>
      <family val="2"/>
    </font>
    <font>
      <sz val="12"/>
      <color rgb="FF000000"/>
      <name val="Noto Sans KR"/>
    </font>
    <font>
      <b/>
      <sz val="12"/>
      <color rgb="FF000000"/>
      <name val="Noto Sans KR"/>
    </font>
    <font>
      <b/>
      <sz val="10"/>
      <color rgb="FF000000"/>
      <name val="LG Smart_H Regular"/>
      <family val="2"/>
    </font>
    <font>
      <b/>
      <sz val="10"/>
      <color rgb="FF172B4D"/>
      <name val="LG Smart_H Regular"/>
      <family val="2"/>
    </font>
    <font>
      <sz val="10"/>
      <color theme="1"/>
      <name val="LG Smart_H Regular"/>
      <family val="2"/>
    </font>
    <font>
      <sz val="10"/>
      <color rgb="FF000000"/>
      <name val="LG Smart_H Regular"/>
      <family val="2"/>
    </font>
    <font>
      <sz val="12"/>
      <color rgb="FF000000"/>
      <name val="LG Smart_H Regular"/>
      <family val="2"/>
    </font>
    <font>
      <b/>
      <sz val="11"/>
      <color rgb="FF000000"/>
      <name val="Noto Sans KR"/>
      <family val="2"/>
    </font>
    <font>
      <b/>
      <sz val="11"/>
      <color rgb="FF172B4D"/>
      <name val="Noto Sans KR"/>
      <family val="2"/>
    </font>
    <font>
      <sz val="11"/>
      <color rgb="FF000000"/>
      <name val="Noto Sans KR"/>
      <family val="2"/>
    </font>
    <font>
      <sz val="11"/>
      <color theme="1"/>
      <name val="Noto Sans KR"/>
      <family val="2"/>
    </font>
    <font>
      <sz val="10"/>
      <color theme="1"/>
      <name val="Noto Sans KR"/>
    </font>
    <font>
      <b/>
      <sz val="11"/>
      <color rgb="FF000000"/>
      <name val="Noto Sans KR"/>
    </font>
    <font>
      <b/>
      <sz val="11"/>
      <color rgb="FF172B4D"/>
      <name val="Noto Sans KR"/>
    </font>
    <font>
      <sz val="11"/>
      <color rgb="FF000000"/>
      <name val="Noto Sans KR"/>
    </font>
    <font>
      <sz val="11"/>
      <color rgb="FF000000"/>
      <name val="LG Smart_H Regular"/>
      <family val="2"/>
    </font>
    <font>
      <sz val="11"/>
      <color theme="1"/>
      <name val="Noto Sans KR"/>
    </font>
    <font>
      <sz val="11"/>
      <color theme="1"/>
      <name val="LG Smart_H Regular"/>
      <family val="2"/>
    </font>
    <font>
      <sz val="12"/>
      <name val="LG Smart_H Regular"/>
      <family val="2"/>
    </font>
    <font>
      <sz val="11"/>
      <name val="LG Smart_H Regular"/>
      <family val="2"/>
    </font>
    <font>
      <sz val="12"/>
      <color rgb="FF000000"/>
      <name val="LG Smart_H Regular"/>
      <family val="2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F5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4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6" fillId="0" borderId="0" xfId="0" applyNumberFormat="1" applyFont="1" applyAlignment="1">
      <alignment horizontal="left" vertical="center"/>
    </xf>
    <xf numFmtId="9" fontId="8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wrapText="1"/>
    </xf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9" fontId="15" fillId="5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 readingOrder="1"/>
    </xf>
    <xf numFmtId="0" fontId="18" fillId="0" borderId="1" xfId="0" applyFont="1" applyBorder="1" applyAlignment="1">
      <alignment horizontal="left" vertical="center"/>
    </xf>
    <xf numFmtId="166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9" fontId="18" fillId="3" borderId="1" xfId="0" applyNumberFormat="1" applyFont="1" applyFill="1" applyBorder="1" applyAlignment="1">
      <alignment horizontal="center" vertical="center"/>
    </xf>
    <xf numFmtId="2" fontId="18" fillId="3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 readingOrder="1"/>
    </xf>
    <xf numFmtId="0" fontId="19" fillId="0" borderId="8" xfId="0" applyFont="1" applyBorder="1" applyAlignment="1">
      <alignment wrapText="1"/>
    </xf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9" fontId="19" fillId="0" borderId="3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9" fontId="20" fillId="5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 readingOrder="1"/>
    </xf>
    <xf numFmtId="0" fontId="22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horizontal="center" vertical="center"/>
    </xf>
    <xf numFmtId="0" fontId="0" fillId="0" borderId="1" xfId="0" applyBorder="1"/>
    <xf numFmtId="0" fontId="24" fillId="0" borderId="0" xfId="0" applyFont="1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wrapText="1"/>
    </xf>
    <xf numFmtId="0" fontId="25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left" vertical="center"/>
    </xf>
    <xf numFmtId="0" fontId="25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9" fontId="25" fillId="5" borderId="1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 readingOrder="1"/>
    </xf>
    <xf numFmtId="0" fontId="28" fillId="0" borderId="1" xfId="0" applyFont="1" applyBorder="1" applyAlignment="1">
      <alignment horizontal="center" vertical="center" wrapText="1" readingOrder="1"/>
    </xf>
    <xf numFmtId="9" fontId="28" fillId="3" borderId="1" xfId="0" applyNumberFormat="1" applyFont="1" applyFill="1" applyBorder="1" applyAlignment="1">
      <alignment horizontal="center" vertical="center"/>
    </xf>
    <xf numFmtId="0" fontId="24" fillId="4" borderId="0" xfId="0" applyFont="1" applyFill="1"/>
    <xf numFmtId="2" fontId="28" fillId="3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horizontal="center" vertical="center"/>
    </xf>
    <xf numFmtId="9" fontId="30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9" fillId="0" borderId="9" xfId="0" applyFont="1" applyBorder="1" applyAlignment="1">
      <alignment horizontal="center" vertical="center" readingOrder="1"/>
    </xf>
    <xf numFmtId="0" fontId="19" fillId="0" borderId="10" xfId="0" applyFont="1" applyBorder="1" applyAlignment="1">
      <alignment horizontal="center" vertical="center" readingOrder="1"/>
    </xf>
    <xf numFmtId="0" fontId="2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readingOrder="1"/>
    </xf>
    <xf numFmtId="0" fontId="28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readingOrder="1"/>
    </xf>
    <xf numFmtId="0" fontId="32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 readingOrder="1"/>
    </xf>
    <xf numFmtId="0" fontId="33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readingOrder="1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 readingOrder="1"/>
    </xf>
    <xf numFmtId="0" fontId="31" fillId="0" borderId="1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3" fillId="10" borderId="9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 readingOrder="1"/>
    </xf>
    <xf numFmtId="0" fontId="9" fillId="9" borderId="2" xfId="0" applyFont="1" applyFill="1" applyBorder="1" applyAlignment="1">
      <alignment horizontal="left" vertical="center" wrapText="1"/>
    </xf>
    <xf numFmtId="0" fontId="9" fillId="9" borderId="6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Comma [0] 2" xfId="1" xr:uid="{8B6F88F1-DA62-4DEB-97A4-FDB640D370B4}"/>
    <cellStyle name="Normal" xfId="0" builtinId="0"/>
  </cellStyles>
  <dxfs count="12"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E77E"/>
      <color rgb="FFF7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1D83-DBFF-439A-ADE0-5B69257C5BF8}">
  <sheetPr codeName="Sheet1">
    <tabColor theme="8" tint="0.59999389629810485"/>
  </sheetPr>
  <dimension ref="A1:R18"/>
  <sheetViews>
    <sheetView topLeftCell="A9" zoomScaleNormal="100" workbookViewId="0">
      <selection activeCell="B12" sqref="B12"/>
    </sheetView>
  </sheetViews>
  <sheetFormatPr defaultColWidth="9.26953125" defaultRowHeight="12.5"/>
  <cols>
    <col min="1" max="1" width="9.36328125" style="9" bestFit="1" customWidth="1"/>
    <col min="2" max="2" width="24.7265625" style="9" customWidth="1"/>
    <col min="3" max="3" width="20.26953125" style="11" customWidth="1"/>
    <col min="4" max="4" width="9.7265625" style="9" hidden="1" customWidth="1"/>
    <col min="5" max="5" width="8.7265625" style="9" hidden="1" customWidth="1"/>
    <col min="6" max="6" width="29" style="12" customWidth="1"/>
    <col min="7" max="7" width="14.54296875" style="9" customWidth="1"/>
    <col min="8" max="8" width="11.7265625" style="9" customWidth="1"/>
    <col min="9" max="9" width="10.1796875" style="10" bestFit="1" customWidth="1"/>
    <col min="10" max="10" width="26.36328125" style="11" customWidth="1"/>
    <col min="11" max="11" width="14.26953125" style="12" bestFit="1" customWidth="1"/>
    <col min="12" max="14" width="13.36328125" style="12" customWidth="1"/>
    <col min="15" max="15" width="15" style="12" bestFit="1" customWidth="1"/>
    <col min="16" max="16" width="7.36328125" style="12" bestFit="1" customWidth="1"/>
    <col min="17" max="17" width="14.7265625" style="12" bestFit="1" customWidth="1"/>
    <col min="18" max="18" width="101" style="9" customWidth="1"/>
    <col min="19" max="16384" width="9.26953125" style="9"/>
  </cols>
  <sheetData>
    <row r="1" spans="1:18" s="8" customFormat="1" ht="39">
      <c r="A1" s="37" t="s">
        <v>0</v>
      </c>
      <c r="B1" s="37" t="s">
        <v>1</v>
      </c>
      <c r="C1" s="38" t="s">
        <v>2</v>
      </c>
      <c r="D1" s="39" t="s">
        <v>3</v>
      </c>
      <c r="E1" s="40" t="s">
        <v>4</v>
      </c>
      <c r="F1" s="41" t="s">
        <v>5</v>
      </c>
      <c r="G1" s="40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3" t="s">
        <v>14</v>
      </c>
      <c r="P1" s="43" t="s">
        <v>15</v>
      </c>
      <c r="Q1" s="44" t="s">
        <v>16</v>
      </c>
      <c r="R1" s="45" t="s">
        <v>17</v>
      </c>
    </row>
    <row r="2" spans="1:18" ht="13">
      <c r="A2" s="46"/>
      <c r="B2" s="47" t="s">
        <v>18</v>
      </c>
      <c r="C2" s="48" t="s">
        <v>19</v>
      </c>
      <c r="D2" s="49"/>
      <c r="E2" s="49"/>
      <c r="F2" s="50" t="s">
        <v>20</v>
      </c>
      <c r="G2" s="50" t="s">
        <v>21</v>
      </c>
      <c r="H2" s="50" t="s">
        <v>22</v>
      </c>
      <c r="I2" s="50" t="s">
        <v>23</v>
      </c>
      <c r="J2" s="51" t="s">
        <v>24</v>
      </c>
      <c r="K2" s="52">
        <v>10</v>
      </c>
      <c r="L2" s="52">
        <v>10</v>
      </c>
      <c r="M2" s="52">
        <v>21</v>
      </c>
      <c r="N2" s="52">
        <v>21</v>
      </c>
      <c r="O2" s="53">
        <f t="shared" ref="O2:Q3" si="0">L2/K2</f>
        <v>1</v>
      </c>
      <c r="P2" s="54">
        <f t="shared" si="0"/>
        <v>2.1</v>
      </c>
      <c r="Q2" s="53">
        <f t="shared" si="0"/>
        <v>1</v>
      </c>
      <c r="R2" s="46" t="s">
        <v>25</v>
      </c>
    </row>
    <row r="3" spans="1:18" ht="13">
      <c r="A3" s="46"/>
      <c r="B3" s="47" t="s">
        <v>18</v>
      </c>
      <c r="C3" s="48" t="s">
        <v>19</v>
      </c>
      <c r="D3" s="49"/>
      <c r="E3" s="49"/>
      <c r="F3" s="50" t="s">
        <v>20</v>
      </c>
      <c r="G3" s="50" t="s">
        <v>21</v>
      </c>
      <c r="H3" s="50" t="s">
        <v>22</v>
      </c>
      <c r="I3" s="50" t="s">
        <v>26</v>
      </c>
      <c r="J3" s="51" t="s">
        <v>27</v>
      </c>
      <c r="K3" s="52">
        <v>8</v>
      </c>
      <c r="L3" s="52">
        <v>8</v>
      </c>
      <c r="M3" s="52">
        <v>8</v>
      </c>
      <c r="N3" s="52">
        <v>8</v>
      </c>
      <c r="O3" s="53">
        <f t="shared" si="0"/>
        <v>1</v>
      </c>
      <c r="P3" s="54">
        <f t="shared" si="0"/>
        <v>1</v>
      </c>
      <c r="Q3" s="53">
        <f t="shared" si="0"/>
        <v>1</v>
      </c>
      <c r="R3" s="46" t="s">
        <v>28</v>
      </c>
    </row>
    <row r="4" spans="1:18" ht="13">
      <c r="A4" s="46"/>
      <c r="B4" s="47" t="s">
        <v>18</v>
      </c>
      <c r="C4" s="48" t="s">
        <v>19</v>
      </c>
      <c r="D4" s="49"/>
      <c r="E4" s="49"/>
      <c r="F4" s="50" t="s">
        <v>20</v>
      </c>
      <c r="G4" s="50" t="s">
        <v>21</v>
      </c>
      <c r="H4" s="50" t="s">
        <v>22</v>
      </c>
      <c r="I4" s="50" t="s">
        <v>29</v>
      </c>
      <c r="J4" s="51" t="s">
        <v>30</v>
      </c>
      <c r="K4" s="52">
        <v>20</v>
      </c>
      <c r="L4" s="52">
        <v>18</v>
      </c>
      <c r="M4" s="52">
        <v>12</v>
      </c>
      <c r="N4" s="52">
        <v>10</v>
      </c>
      <c r="O4" s="53">
        <f t="shared" ref="O4:O7" si="1">L4/K4</f>
        <v>0.9</v>
      </c>
      <c r="P4" s="54">
        <f t="shared" ref="P4:P7" si="2">M4/L4</f>
        <v>0.66666666666666663</v>
      </c>
      <c r="Q4" s="53">
        <f t="shared" ref="Q4:Q7" si="3">N4/M4</f>
        <v>0.83333333333333337</v>
      </c>
      <c r="R4" s="46" t="s">
        <v>31</v>
      </c>
    </row>
    <row r="5" spans="1:18" ht="13">
      <c r="A5" s="46"/>
      <c r="B5" s="47" t="s">
        <v>18</v>
      </c>
      <c r="C5" s="48" t="s">
        <v>19</v>
      </c>
      <c r="D5" s="49"/>
      <c r="E5" s="49"/>
      <c r="F5" s="50" t="s">
        <v>20</v>
      </c>
      <c r="G5" s="50" t="s">
        <v>21</v>
      </c>
      <c r="H5" s="50" t="s">
        <v>22</v>
      </c>
      <c r="I5" s="50" t="s">
        <v>32</v>
      </c>
      <c r="J5" s="51" t="s">
        <v>33</v>
      </c>
      <c r="K5" s="52">
        <v>20</v>
      </c>
      <c r="L5" s="52">
        <v>16</v>
      </c>
      <c r="M5" s="52">
        <v>22</v>
      </c>
      <c r="N5" s="52">
        <v>22</v>
      </c>
      <c r="O5" s="53">
        <f t="shared" ref="O5:O6" si="4">L5/K5</f>
        <v>0.8</v>
      </c>
      <c r="P5" s="54">
        <f t="shared" ref="P5:P6" si="5">M5/L5</f>
        <v>1.375</v>
      </c>
      <c r="Q5" s="53">
        <f t="shared" ref="Q5:Q6" si="6">N5/M5</f>
        <v>1</v>
      </c>
      <c r="R5" s="46" t="s">
        <v>34</v>
      </c>
    </row>
    <row r="6" spans="1:18" ht="13">
      <c r="A6" s="46"/>
      <c r="B6" s="47" t="s">
        <v>18</v>
      </c>
      <c r="C6" s="48" t="s">
        <v>19</v>
      </c>
      <c r="D6" s="49"/>
      <c r="E6" s="49"/>
      <c r="F6" s="50" t="s">
        <v>20</v>
      </c>
      <c r="G6" s="50" t="s">
        <v>21</v>
      </c>
      <c r="H6" s="50" t="s">
        <v>22</v>
      </c>
      <c r="I6" s="50" t="s">
        <v>35</v>
      </c>
      <c r="J6" s="51" t="s">
        <v>36</v>
      </c>
      <c r="K6" s="52">
        <v>27</v>
      </c>
      <c r="L6" s="52">
        <v>17</v>
      </c>
      <c r="M6" s="52">
        <v>28</v>
      </c>
      <c r="N6" s="52">
        <v>24</v>
      </c>
      <c r="O6" s="53">
        <f t="shared" si="4"/>
        <v>0.62962962962962965</v>
      </c>
      <c r="P6" s="54">
        <f t="shared" si="5"/>
        <v>1.6470588235294117</v>
      </c>
      <c r="Q6" s="53">
        <f t="shared" si="6"/>
        <v>0.8571428571428571</v>
      </c>
      <c r="R6" s="55" t="s">
        <v>37</v>
      </c>
    </row>
    <row r="7" spans="1:18" ht="26">
      <c r="A7" s="46"/>
      <c r="B7" s="47" t="s">
        <v>18</v>
      </c>
      <c r="C7" s="48" t="s">
        <v>19</v>
      </c>
      <c r="D7" s="49"/>
      <c r="E7" s="49"/>
      <c r="F7" s="50" t="s">
        <v>20</v>
      </c>
      <c r="G7" s="50" t="s">
        <v>21</v>
      </c>
      <c r="H7" s="50" t="s">
        <v>22</v>
      </c>
      <c r="I7" s="50" t="s">
        <v>38</v>
      </c>
      <c r="J7" s="51" t="s">
        <v>36</v>
      </c>
      <c r="K7" s="52">
        <v>17</v>
      </c>
      <c r="L7" s="52">
        <v>17</v>
      </c>
      <c r="M7" s="52">
        <v>31</v>
      </c>
      <c r="N7" s="52">
        <v>31</v>
      </c>
      <c r="O7" s="53">
        <f t="shared" si="1"/>
        <v>1</v>
      </c>
      <c r="P7" s="54">
        <f t="shared" si="2"/>
        <v>1.8235294117647058</v>
      </c>
      <c r="Q7" s="53">
        <f t="shared" si="3"/>
        <v>1</v>
      </c>
      <c r="R7" s="55" t="s">
        <v>39</v>
      </c>
    </row>
    <row r="8" spans="1:18" s="10" customFormat="1" ht="78">
      <c r="A8" s="52"/>
      <c r="B8" s="47" t="s">
        <v>40</v>
      </c>
      <c r="C8" s="48" t="s">
        <v>41</v>
      </c>
      <c r="D8" s="52"/>
      <c r="E8" s="52"/>
      <c r="F8" s="50" t="s">
        <v>42</v>
      </c>
      <c r="G8" s="50" t="s">
        <v>43</v>
      </c>
      <c r="H8" s="50" t="s">
        <v>22</v>
      </c>
      <c r="I8" s="52" t="s">
        <v>23</v>
      </c>
      <c r="J8" s="51" t="s">
        <v>44</v>
      </c>
      <c r="K8" s="52">
        <v>265</v>
      </c>
      <c r="L8" s="52">
        <v>265</v>
      </c>
      <c r="M8" s="52">
        <v>41</v>
      </c>
      <c r="N8" s="52">
        <v>41</v>
      </c>
      <c r="O8" s="53">
        <f t="shared" ref="O8:O9" si="7">L8/K8</f>
        <v>1</v>
      </c>
      <c r="P8" s="54">
        <f t="shared" ref="P8:P9" si="8">M8/L8</f>
        <v>0.15471698113207547</v>
      </c>
      <c r="Q8" s="53">
        <f t="shared" ref="Q8:Q9" si="9">N8/M8</f>
        <v>1</v>
      </c>
      <c r="R8" s="56" t="s">
        <v>45</v>
      </c>
    </row>
    <row r="9" spans="1:18" s="10" customFormat="1" ht="91">
      <c r="A9" s="52"/>
      <c r="B9" s="47" t="s">
        <v>40</v>
      </c>
      <c r="C9" s="48" t="s">
        <v>41</v>
      </c>
      <c r="D9" s="52"/>
      <c r="E9" s="52"/>
      <c r="F9" s="50" t="s">
        <v>42</v>
      </c>
      <c r="G9" s="50" t="s">
        <v>43</v>
      </c>
      <c r="H9" s="50" t="s">
        <v>22</v>
      </c>
      <c r="I9" s="52" t="s">
        <v>26</v>
      </c>
      <c r="J9" s="51" t="s">
        <v>44</v>
      </c>
      <c r="K9" s="52">
        <v>855</v>
      </c>
      <c r="L9" s="52">
        <v>855</v>
      </c>
      <c r="M9" s="52">
        <v>28</v>
      </c>
      <c r="N9" s="52">
        <v>28</v>
      </c>
      <c r="O9" s="53">
        <f t="shared" si="7"/>
        <v>1</v>
      </c>
      <c r="P9" s="54">
        <f t="shared" si="8"/>
        <v>3.2748538011695909E-2</v>
      </c>
      <c r="Q9" s="53">
        <f t="shared" si="9"/>
        <v>1</v>
      </c>
      <c r="R9" s="56" t="s">
        <v>46</v>
      </c>
    </row>
    <row r="10" spans="1:18" s="10" customFormat="1" ht="65">
      <c r="A10" s="52"/>
      <c r="B10" s="47" t="s">
        <v>40</v>
      </c>
      <c r="C10" s="48" t="s">
        <v>41</v>
      </c>
      <c r="D10" s="52"/>
      <c r="E10" s="52"/>
      <c r="F10" s="50" t="s">
        <v>42</v>
      </c>
      <c r="G10" s="50" t="s">
        <v>43</v>
      </c>
      <c r="H10" s="50" t="s">
        <v>22</v>
      </c>
      <c r="I10" s="52" t="s">
        <v>29</v>
      </c>
      <c r="J10" s="51" t="s">
        <v>47</v>
      </c>
      <c r="K10" s="52">
        <v>730</v>
      </c>
      <c r="L10" s="52">
        <v>730</v>
      </c>
      <c r="M10" s="52">
        <v>1</v>
      </c>
      <c r="N10" s="52">
        <v>1</v>
      </c>
      <c r="O10" s="53">
        <f t="shared" ref="O10" si="10">L10/K10</f>
        <v>1</v>
      </c>
      <c r="P10" s="54">
        <f t="shared" ref="P10" si="11">M10/L10</f>
        <v>1.3698630136986301E-3</v>
      </c>
      <c r="Q10" s="53">
        <f t="shared" ref="Q10" si="12">N10/M10</f>
        <v>1</v>
      </c>
      <c r="R10" s="56" t="s">
        <v>48</v>
      </c>
    </row>
    <row r="11" spans="1:18" s="10" customFormat="1" ht="93.75" customHeight="1">
      <c r="A11" s="52"/>
      <c r="B11" s="47" t="s">
        <v>49</v>
      </c>
      <c r="C11" s="48" t="s">
        <v>50</v>
      </c>
      <c r="D11" s="52"/>
      <c r="E11" s="52"/>
      <c r="F11" s="50" t="s">
        <v>51</v>
      </c>
      <c r="G11" s="50"/>
      <c r="H11" s="50" t="s">
        <v>22</v>
      </c>
      <c r="I11" s="52" t="s">
        <v>23</v>
      </c>
      <c r="J11" s="51" t="s">
        <v>52</v>
      </c>
      <c r="K11" s="52">
        <v>215</v>
      </c>
      <c r="L11" s="52">
        <v>241</v>
      </c>
      <c r="M11" s="52">
        <v>0</v>
      </c>
      <c r="N11" s="52">
        <v>0</v>
      </c>
      <c r="O11" s="53">
        <f t="shared" ref="O11" si="13">L11/K11</f>
        <v>1.1209302325581396</v>
      </c>
      <c r="P11" s="54">
        <f t="shared" ref="P11" si="14">M11/L11</f>
        <v>0</v>
      </c>
      <c r="Q11" s="53" t="e">
        <f t="shared" ref="Q11" si="15">N11/M11</f>
        <v>#DIV/0!</v>
      </c>
      <c r="R11" s="57" t="s">
        <v>53</v>
      </c>
    </row>
    <row r="12" spans="1:18" ht="108.5">
      <c r="A12" s="17"/>
      <c r="B12" s="47" t="s">
        <v>49</v>
      </c>
      <c r="C12" s="48" t="s">
        <v>50</v>
      </c>
      <c r="D12" s="52"/>
      <c r="E12" s="52"/>
      <c r="F12" s="50" t="s">
        <v>51</v>
      </c>
      <c r="G12" s="50"/>
      <c r="H12" s="50" t="s">
        <v>22</v>
      </c>
      <c r="I12" s="20" t="s">
        <v>26</v>
      </c>
      <c r="J12" s="51" t="s">
        <v>54</v>
      </c>
      <c r="K12" s="60">
        <v>679</v>
      </c>
      <c r="L12" s="61">
        <v>656</v>
      </c>
      <c r="M12" s="61">
        <v>0</v>
      </c>
      <c r="N12" s="61">
        <v>0</v>
      </c>
      <c r="O12" s="62">
        <v>0.97</v>
      </c>
      <c r="P12" s="61" t="s">
        <v>55</v>
      </c>
      <c r="Q12" s="63" t="s">
        <v>56</v>
      </c>
      <c r="R12" s="59" t="s">
        <v>57</v>
      </c>
    </row>
    <row r="13" spans="1:18">
      <c r="A13" s="17"/>
      <c r="B13" s="17"/>
      <c r="C13" s="18"/>
      <c r="D13" s="17"/>
      <c r="E13" s="17"/>
      <c r="F13" s="19"/>
      <c r="G13" s="17"/>
      <c r="H13" s="17"/>
      <c r="I13" s="20"/>
      <c r="J13" s="13"/>
      <c r="K13" s="19"/>
      <c r="L13" s="19"/>
      <c r="M13" s="19"/>
      <c r="N13" s="19"/>
      <c r="O13" s="19"/>
      <c r="P13" s="19"/>
      <c r="Q13" s="19"/>
      <c r="R13" s="17"/>
    </row>
    <row r="14" spans="1:18" ht="13">
      <c r="A14" s="17"/>
      <c r="B14" s="17"/>
      <c r="C14" s="18"/>
      <c r="D14" s="17"/>
      <c r="E14" s="17"/>
      <c r="F14" s="19"/>
      <c r="G14" s="17"/>
      <c r="H14" s="17"/>
      <c r="I14" s="20"/>
      <c r="J14" s="51"/>
      <c r="K14" s="19"/>
      <c r="L14" s="19"/>
      <c r="M14" s="19"/>
      <c r="N14" s="19"/>
      <c r="O14" s="19"/>
      <c r="P14" s="19"/>
      <c r="Q14" s="19"/>
      <c r="R14" s="17"/>
    </row>
    <row r="15" spans="1:18">
      <c r="A15" s="17"/>
      <c r="B15" s="17"/>
      <c r="C15" s="18"/>
      <c r="D15" s="17"/>
      <c r="E15" s="17"/>
      <c r="F15" s="19"/>
      <c r="G15" s="17"/>
      <c r="H15" s="17"/>
      <c r="I15" s="20"/>
      <c r="J15" s="13"/>
      <c r="K15" s="19"/>
      <c r="L15" s="19"/>
      <c r="M15" s="19"/>
      <c r="N15" s="19"/>
      <c r="O15" s="19"/>
      <c r="P15" s="19"/>
      <c r="Q15" s="19"/>
      <c r="R15" s="17"/>
    </row>
    <row r="16" spans="1:18">
      <c r="A16" s="17"/>
      <c r="B16" s="17"/>
      <c r="C16" s="18"/>
      <c r="D16" s="17"/>
      <c r="E16" s="17"/>
      <c r="F16" s="19"/>
      <c r="G16" s="17"/>
      <c r="H16" s="17"/>
      <c r="I16" s="20"/>
      <c r="J16" s="13"/>
      <c r="K16" s="19"/>
      <c r="L16" s="19"/>
      <c r="M16" s="19"/>
      <c r="N16" s="19"/>
      <c r="O16" s="19"/>
      <c r="P16" s="19"/>
      <c r="Q16" s="19"/>
      <c r="R16" s="17"/>
    </row>
    <row r="17" spans="6:10">
      <c r="F17" s="19"/>
      <c r="G17" s="17"/>
      <c r="H17" s="17"/>
      <c r="I17" s="20"/>
      <c r="J17" s="13"/>
    </row>
    <row r="18" spans="6:10">
      <c r="F18" s="19"/>
      <c r="G18" s="17"/>
      <c r="H18" s="17"/>
      <c r="I18" s="20"/>
      <c r="J18" s="13"/>
    </row>
  </sheetData>
  <phoneticPr fontId="4" type="noConversion"/>
  <conditionalFormatting sqref="A1">
    <cfRule type="duplicateValues" dxfId="11" priority="12"/>
  </conditionalFormatting>
  <conditionalFormatting sqref="D2:E4">
    <cfRule type="expression" priority="168">
      <formula>MOD(D794:D1048376,2)&gt;0</formula>
    </cfRule>
  </conditionalFormatting>
  <conditionalFormatting sqref="D2:E7">
    <cfRule type="expression" dxfId="10" priority="3">
      <formula xml:space="preserve"> MOD(D:D/2,1)&gt;0</formula>
    </cfRule>
  </conditionalFormatting>
  <conditionalFormatting sqref="D5:E5">
    <cfRule type="expression" priority="171">
      <formula>MOD(D796:D1048378,2)&gt;0</formula>
    </cfRule>
  </conditionalFormatting>
  <conditionalFormatting sqref="D6:E7">
    <cfRule type="expression" priority="1">
      <formula>MOD(D796:D1048378,2)&gt;0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245-E9C4-45F6-A421-54FD8899A3DB}">
  <sheetPr codeName="Sheet2">
    <tabColor theme="9" tint="0.59999389629810485"/>
  </sheetPr>
  <dimension ref="A1:Q11"/>
  <sheetViews>
    <sheetView topLeftCell="B1" zoomScale="115" zoomScaleNormal="115" workbookViewId="0">
      <pane xSplit="3" ySplit="1" topLeftCell="J2" activePane="bottomRight" state="frozen"/>
      <selection pane="topRight" activeCell="G15" sqref="G15"/>
      <selection pane="bottomLeft" activeCell="G15" sqref="G15"/>
      <selection pane="bottomRight" activeCell="L8" sqref="L8"/>
    </sheetView>
  </sheetViews>
  <sheetFormatPr defaultColWidth="9.1796875" defaultRowHeight="12.5"/>
  <cols>
    <col min="1" max="1" width="9.1796875" style="1"/>
    <col min="2" max="2" width="14.7265625" style="1" hidden="1" customWidth="1"/>
    <col min="3" max="3" width="38" style="2" bestFit="1" customWidth="1"/>
    <col min="4" max="4" width="14.6328125" style="2" hidden="1" customWidth="1"/>
    <col min="5" max="5" width="14.453125" style="3" hidden="1" customWidth="1"/>
    <col min="6" max="6" width="13.90625" style="3" hidden="1" customWidth="1"/>
    <col min="7" max="7" width="25.90625" style="4" hidden="1" customWidth="1"/>
    <col min="8" max="8" width="20.6328125" style="5" hidden="1" customWidth="1"/>
    <col min="9" max="9" width="17.453125" style="5" hidden="1" customWidth="1"/>
    <col min="10" max="10" width="19.90625" style="5" bestFit="1" customWidth="1"/>
    <col min="11" max="11" width="25.7265625" style="5" bestFit="1" customWidth="1"/>
    <col min="12" max="12" width="11.36328125" style="5" bestFit="1" customWidth="1"/>
    <col min="13" max="13" width="16.90625" style="5" bestFit="1" customWidth="1"/>
    <col min="14" max="14" width="27.08984375" style="5" bestFit="1" customWidth="1"/>
    <col min="15" max="15" width="19.26953125" style="5" bestFit="1" customWidth="1"/>
    <col min="16" max="16" width="27.1796875" style="6" bestFit="1" customWidth="1"/>
    <col min="17" max="17" width="158.26953125" style="7" bestFit="1" customWidth="1"/>
    <col min="18" max="16384" width="9.1796875" style="1"/>
  </cols>
  <sheetData>
    <row r="1" spans="1:17" ht="14">
      <c r="A1" s="17"/>
      <c r="B1" s="64" t="s">
        <v>0</v>
      </c>
      <c r="C1" s="65" t="s">
        <v>1</v>
      </c>
      <c r="D1" s="64" t="s">
        <v>2</v>
      </c>
      <c r="E1" s="66" t="s">
        <v>3</v>
      </c>
      <c r="F1" s="67" t="s">
        <v>4</v>
      </c>
      <c r="G1" s="66" t="s">
        <v>5</v>
      </c>
      <c r="H1" s="67" t="s">
        <v>6</v>
      </c>
      <c r="I1" s="68" t="s">
        <v>7</v>
      </c>
      <c r="J1" s="68" t="s">
        <v>10</v>
      </c>
      <c r="K1" s="68" t="s">
        <v>11</v>
      </c>
      <c r="L1" s="68" t="s">
        <v>12</v>
      </c>
      <c r="M1" s="68" t="s">
        <v>13</v>
      </c>
      <c r="N1" s="69" t="s">
        <v>58</v>
      </c>
      <c r="O1" s="69" t="s">
        <v>59</v>
      </c>
      <c r="P1" s="70" t="s">
        <v>60</v>
      </c>
      <c r="Q1" s="71" t="s">
        <v>17</v>
      </c>
    </row>
    <row r="2" spans="1:17" ht="42.5" customHeight="1">
      <c r="A2" s="17"/>
      <c r="B2" s="72"/>
      <c r="C2" s="58" t="s">
        <v>65</v>
      </c>
      <c r="D2" s="72"/>
      <c r="E2" s="73"/>
      <c r="F2" s="73"/>
      <c r="G2" s="72"/>
      <c r="H2" s="74"/>
      <c r="I2" s="75"/>
      <c r="J2" s="76">
        <v>101</v>
      </c>
      <c r="K2" s="76">
        <v>101</v>
      </c>
      <c r="L2" s="76">
        <v>0</v>
      </c>
      <c r="M2" s="76">
        <v>0</v>
      </c>
      <c r="N2" s="14">
        <f>K2/J2</f>
        <v>1</v>
      </c>
      <c r="O2" s="14">
        <f>L2/K2</f>
        <v>0</v>
      </c>
      <c r="P2" s="14" t="e">
        <f t="shared" ref="O2:P9" si="0">M2/L2</f>
        <v>#DIV/0!</v>
      </c>
      <c r="Q2" s="80"/>
    </row>
    <row r="3" spans="1:17" ht="42.5" customHeight="1">
      <c r="A3" s="21"/>
      <c r="B3" s="72"/>
      <c r="C3" s="58" t="s">
        <v>95</v>
      </c>
      <c r="D3" s="72"/>
      <c r="E3" s="73"/>
      <c r="F3" s="73"/>
      <c r="G3" s="72"/>
      <c r="H3" s="74"/>
      <c r="I3" s="75"/>
      <c r="J3" s="76">
        <v>75</v>
      </c>
      <c r="K3" s="76">
        <v>75</v>
      </c>
      <c r="L3" s="76">
        <v>0</v>
      </c>
      <c r="M3" s="76">
        <v>0</v>
      </c>
      <c r="N3" s="14">
        <f t="shared" ref="N3:N9" si="1">K3/J3</f>
        <v>1</v>
      </c>
      <c r="O3" s="15">
        <f t="shared" si="0"/>
        <v>0</v>
      </c>
      <c r="P3" s="14" t="e">
        <f t="shared" si="0"/>
        <v>#DIV/0!</v>
      </c>
      <c r="Q3" s="80"/>
    </row>
    <row r="4" spans="1:17" ht="42.5" customHeight="1">
      <c r="A4" s="17"/>
      <c r="B4" s="72"/>
      <c r="C4" s="58" t="s">
        <v>96</v>
      </c>
      <c r="D4" s="72"/>
      <c r="E4" s="73"/>
      <c r="F4" s="73"/>
      <c r="G4" s="72"/>
      <c r="H4" s="74"/>
      <c r="I4" s="75"/>
      <c r="J4" s="76">
        <v>61</v>
      </c>
      <c r="K4" s="76">
        <v>60</v>
      </c>
      <c r="L4" s="76">
        <v>1</v>
      </c>
      <c r="M4" s="76">
        <v>1</v>
      </c>
      <c r="N4" s="14">
        <f t="shared" si="1"/>
        <v>0.98360655737704916</v>
      </c>
      <c r="O4" s="15">
        <f t="shared" si="0"/>
        <v>1.6666666666666666E-2</v>
      </c>
      <c r="P4" s="14">
        <f t="shared" si="0"/>
        <v>1</v>
      </c>
      <c r="Q4" s="80"/>
    </row>
    <row r="5" spans="1:17" ht="42.5" customHeight="1">
      <c r="A5" s="17"/>
      <c r="B5" s="77"/>
      <c r="C5" s="58" t="s">
        <v>92</v>
      </c>
      <c r="D5" s="77"/>
      <c r="E5" s="77"/>
      <c r="F5" s="77"/>
      <c r="G5" s="78"/>
      <c r="H5" s="79"/>
      <c r="I5" s="79"/>
      <c r="J5" s="76">
        <v>0</v>
      </c>
      <c r="K5" s="76">
        <v>0</v>
      </c>
      <c r="L5" s="76">
        <v>0</v>
      </c>
      <c r="M5" s="76">
        <v>0</v>
      </c>
      <c r="N5" s="14" t="e">
        <f t="shared" si="1"/>
        <v>#DIV/0!</v>
      </c>
      <c r="O5" s="15" t="e">
        <f t="shared" si="0"/>
        <v>#DIV/0!</v>
      </c>
      <c r="P5" s="14" t="e">
        <f t="shared" si="0"/>
        <v>#DIV/0!</v>
      </c>
      <c r="Q5" s="80"/>
    </row>
    <row r="6" spans="1:17" ht="42.5" customHeight="1">
      <c r="A6" s="17"/>
      <c r="B6" s="77"/>
      <c r="C6" s="58" t="s">
        <v>93</v>
      </c>
      <c r="D6" s="77"/>
      <c r="E6" s="77"/>
      <c r="F6" s="77"/>
      <c r="G6" s="78"/>
      <c r="H6" s="79"/>
      <c r="I6" s="79"/>
      <c r="J6" s="76">
        <v>0</v>
      </c>
      <c r="K6" s="76">
        <v>0</v>
      </c>
      <c r="L6" s="76">
        <v>0</v>
      </c>
      <c r="M6" s="76">
        <v>0</v>
      </c>
      <c r="N6" s="14" t="e">
        <f t="shared" si="1"/>
        <v>#DIV/0!</v>
      </c>
      <c r="O6" s="15" t="e">
        <f t="shared" si="0"/>
        <v>#DIV/0!</v>
      </c>
      <c r="P6" s="14" t="e">
        <f t="shared" si="0"/>
        <v>#DIV/0!</v>
      </c>
      <c r="Q6" s="80"/>
    </row>
    <row r="7" spans="1:17" ht="42.5" customHeight="1">
      <c r="A7" s="17"/>
      <c r="B7" s="77"/>
      <c r="C7" s="58" t="s">
        <v>97</v>
      </c>
      <c r="D7" s="77"/>
      <c r="E7" s="77"/>
      <c r="F7" s="77"/>
      <c r="G7" s="78"/>
      <c r="H7" s="79"/>
      <c r="I7" s="79"/>
      <c r="J7" s="76">
        <v>47</v>
      </c>
      <c r="K7" s="76">
        <v>47</v>
      </c>
      <c r="L7" s="76">
        <v>0</v>
      </c>
      <c r="M7" s="76">
        <v>0</v>
      </c>
      <c r="N7" s="14">
        <f t="shared" si="1"/>
        <v>1</v>
      </c>
      <c r="O7" s="15">
        <f t="shared" si="0"/>
        <v>0</v>
      </c>
      <c r="P7" s="14" t="e">
        <f t="shared" si="0"/>
        <v>#DIV/0!</v>
      </c>
      <c r="Q7" s="80"/>
    </row>
    <row r="8" spans="1:17" ht="42.5" customHeight="1">
      <c r="A8" s="17"/>
      <c r="B8" s="77"/>
      <c r="C8" s="58" t="s">
        <v>64</v>
      </c>
      <c r="D8" s="77"/>
      <c r="E8" s="77"/>
      <c r="F8" s="77"/>
      <c r="G8" s="78"/>
      <c r="H8" s="79"/>
      <c r="I8" s="79"/>
      <c r="J8" s="76">
        <v>94</v>
      </c>
      <c r="K8" s="76">
        <v>94</v>
      </c>
      <c r="L8" s="76">
        <v>1</v>
      </c>
      <c r="M8" s="76">
        <v>1</v>
      </c>
      <c r="N8" s="14">
        <f t="shared" si="1"/>
        <v>1</v>
      </c>
      <c r="O8" s="15">
        <f t="shared" si="0"/>
        <v>1.0638297872340425E-2</v>
      </c>
      <c r="P8" s="14">
        <f t="shared" si="0"/>
        <v>1</v>
      </c>
      <c r="Q8" s="80"/>
    </row>
    <row r="9" spans="1:17" ht="42.5" customHeight="1">
      <c r="A9" s="17"/>
      <c r="B9" s="77"/>
      <c r="C9" s="58" t="s">
        <v>66</v>
      </c>
      <c r="D9" s="77"/>
      <c r="E9" s="77"/>
      <c r="F9" s="77"/>
      <c r="G9" s="78"/>
      <c r="H9" s="79"/>
      <c r="I9" s="79"/>
      <c r="J9" s="76">
        <v>110</v>
      </c>
      <c r="K9" s="76">
        <v>110</v>
      </c>
      <c r="L9" s="76">
        <v>1</v>
      </c>
      <c r="M9" s="76">
        <v>1</v>
      </c>
      <c r="N9" s="14">
        <f t="shared" si="1"/>
        <v>1</v>
      </c>
      <c r="O9" s="15">
        <f t="shared" si="0"/>
        <v>9.0909090909090905E-3</v>
      </c>
      <c r="P9" s="16">
        <f t="shared" si="0"/>
        <v>1</v>
      </c>
      <c r="Q9" s="80"/>
    </row>
    <row r="10" spans="1:17" ht="42.5" customHeight="1">
      <c r="A10" s="17"/>
      <c r="B10" s="17"/>
      <c r="C10" s="18"/>
      <c r="D10" s="18"/>
      <c r="E10" s="19"/>
      <c r="F10" s="19"/>
      <c r="G10" s="22"/>
      <c r="H10" s="20"/>
      <c r="I10" s="20"/>
      <c r="J10" s="20"/>
      <c r="K10" s="20"/>
      <c r="L10" s="20"/>
      <c r="M10" s="23"/>
      <c r="N10" s="20"/>
      <c r="O10" s="20"/>
      <c r="P10" s="20"/>
      <c r="Q10" s="24"/>
    </row>
    <row r="11" spans="1:17">
      <c r="A11" s="17"/>
      <c r="B11" s="17"/>
      <c r="C11" s="18"/>
      <c r="D11" s="18"/>
      <c r="E11" s="19"/>
      <c r="F11" s="19"/>
      <c r="G11" s="22"/>
      <c r="H11" s="20"/>
      <c r="I11" s="20"/>
      <c r="J11" s="20"/>
      <c r="K11" s="20"/>
      <c r="L11" s="20"/>
      <c r="M11" s="20"/>
      <c r="N11" s="20"/>
      <c r="O11" s="20"/>
      <c r="P11" s="20"/>
      <c r="Q11" s="24"/>
    </row>
  </sheetData>
  <autoFilter ref="A1:Q1" xr:uid="{A0499EC0-9336-4A43-84AD-C0713E773EA7}"/>
  <conditionalFormatting sqref="B1:B1048576">
    <cfRule type="duplicateValues" dxfId="9" priority="6"/>
  </conditionalFormatting>
  <conditionalFormatting sqref="E2:F2">
    <cfRule type="expression" priority="109">
      <formula>MOD(E687:E1048269,2)&gt;0</formula>
    </cfRule>
  </conditionalFormatting>
  <conditionalFormatting sqref="E2:F4">
    <cfRule type="expression" dxfId="8" priority="11">
      <formula xml:space="preserve"> MOD(E:E/2,1)&gt;0</formula>
    </cfRule>
  </conditionalFormatting>
  <conditionalFormatting sqref="E3:F3">
    <cfRule type="expression" priority="120">
      <formula>MOD(E690:E1048272,2)&gt;0</formula>
    </cfRule>
  </conditionalFormatting>
  <conditionalFormatting sqref="E4:F4">
    <cfRule type="expression" priority="9">
      <formula>MOD(E693:E1048275,2)&gt;0</formula>
    </cfRule>
    <cfRule type="expression" priority="10">
      <formula>MOD(E692:E1048274,2)&gt;0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12E1-0307-4186-A952-E73DC4527629}">
  <sheetPr>
    <tabColor theme="9" tint="0.59999389629810485"/>
  </sheetPr>
  <dimension ref="A1:Q11"/>
  <sheetViews>
    <sheetView tabSelected="1" topLeftCell="B1" zoomScale="115" zoomScaleNormal="115" workbookViewId="0">
      <pane xSplit="3" ySplit="1" topLeftCell="L2" activePane="bottomRight" state="frozen"/>
      <selection pane="topRight" activeCell="G15" sqref="G15"/>
      <selection pane="bottomLeft" activeCell="G15" sqref="G15"/>
      <selection pane="bottomRight" activeCell="Q3" sqref="Q3"/>
    </sheetView>
  </sheetViews>
  <sheetFormatPr defaultColWidth="9.1796875" defaultRowHeight="12.5"/>
  <cols>
    <col min="1" max="1" width="9.1796875" style="81"/>
    <col min="2" max="2" width="14.7265625" style="81" hidden="1" customWidth="1"/>
    <col min="3" max="3" width="38" style="82" bestFit="1" customWidth="1"/>
    <col min="4" max="4" width="14.54296875" style="82" hidden="1" customWidth="1"/>
    <col min="5" max="5" width="14.36328125" style="83" hidden="1" customWidth="1"/>
    <col min="6" max="6" width="13.81640625" style="83" hidden="1" customWidth="1"/>
    <col min="7" max="7" width="25.81640625" style="84" hidden="1" customWidth="1"/>
    <col min="8" max="8" width="20.54296875" style="85" hidden="1" customWidth="1"/>
    <col min="9" max="9" width="17.36328125" style="85" hidden="1" customWidth="1"/>
    <col min="10" max="10" width="19.81640625" style="85" bestFit="1" customWidth="1"/>
    <col min="11" max="11" width="25.7265625" style="85" bestFit="1" customWidth="1"/>
    <col min="12" max="12" width="11.36328125" style="85" bestFit="1" customWidth="1"/>
    <col min="13" max="13" width="16.81640625" style="85" bestFit="1" customWidth="1"/>
    <col min="14" max="14" width="27.1796875" style="85" bestFit="1" customWidth="1"/>
    <col min="15" max="15" width="19.26953125" style="85" bestFit="1" customWidth="1"/>
    <col min="16" max="16" width="27.1796875" style="86" bestFit="1" customWidth="1"/>
    <col min="17" max="17" width="73.6328125" style="87" customWidth="1"/>
    <col min="18" max="16384" width="9.1796875" style="81"/>
  </cols>
  <sheetData>
    <row r="1" spans="1:17" ht="14">
      <c r="B1" s="88" t="s">
        <v>0</v>
      </c>
      <c r="C1" s="89" t="s">
        <v>1</v>
      </c>
      <c r="D1" s="88" t="s">
        <v>2</v>
      </c>
      <c r="E1" s="90" t="s">
        <v>3</v>
      </c>
      <c r="F1" s="91" t="s">
        <v>4</v>
      </c>
      <c r="G1" s="90" t="s">
        <v>5</v>
      </c>
      <c r="H1" s="91" t="s">
        <v>6</v>
      </c>
      <c r="I1" s="92" t="s">
        <v>7</v>
      </c>
      <c r="J1" s="92" t="s">
        <v>10</v>
      </c>
      <c r="K1" s="92" t="s">
        <v>11</v>
      </c>
      <c r="L1" s="92" t="s">
        <v>12</v>
      </c>
      <c r="M1" s="92" t="s">
        <v>13</v>
      </c>
      <c r="N1" s="93" t="s">
        <v>58</v>
      </c>
      <c r="O1" s="93" t="s">
        <v>59</v>
      </c>
      <c r="P1" s="94" t="s">
        <v>60</v>
      </c>
      <c r="Q1" s="95" t="s">
        <v>17</v>
      </c>
    </row>
    <row r="2" spans="1:17" ht="43.25" customHeight="1">
      <c r="B2" s="96"/>
      <c r="C2" s="58" t="s">
        <v>65</v>
      </c>
      <c r="D2" s="96"/>
      <c r="E2" s="97"/>
      <c r="F2" s="97"/>
      <c r="G2" s="96"/>
      <c r="H2" s="98"/>
      <c r="I2" s="96"/>
      <c r="J2" s="99">
        <v>96</v>
      </c>
      <c r="K2" s="99">
        <v>96</v>
      </c>
      <c r="L2" s="99">
        <v>0</v>
      </c>
      <c r="M2" s="99">
        <v>0</v>
      </c>
      <c r="N2" s="100">
        <f t="shared" ref="N2:P9" si="0">K2/J2</f>
        <v>1</v>
      </c>
      <c r="O2" s="100">
        <f t="shared" si="0"/>
        <v>0</v>
      </c>
      <c r="P2" s="100" t="e">
        <f t="shared" si="0"/>
        <v>#DIV/0!</v>
      </c>
      <c r="Q2" s="133" t="s">
        <v>116</v>
      </c>
    </row>
    <row r="3" spans="1:17" ht="43.25" customHeight="1">
      <c r="A3" s="101"/>
      <c r="B3" s="96"/>
      <c r="C3" s="58" t="s">
        <v>95</v>
      </c>
      <c r="D3" s="96"/>
      <c r="E3" s="97"/>
      <c r="F3" s="97"/>
      <c r="G3" s="96"/>
      <c r="H3" s="98"/>
      <c r="I3" s="96"/>
      <c r="J3" s="99">
        <v>97</v>
      </c>
      <c r="K3" s="99">
        <v>78</v>
      </c>
      <c r="L3" s="99">
        <v>0</v>
      </c>
      <c r="M3" s="99">
        <v>0</v>
      </c>
      <c r="N3" s="100">
        <f t="shared" si="0"/>
        <v>0.80412371134020622</v>
      </c>
      <c r="O3" s="102">
        <f t="shared" si="0"/>
        <v>0</v>
      </c>
      <c r="P3" s="100" t="e">
        <f t="shared" si="0"/>
        <v>#DIV/0!</v>
      </c>
      <c r="Q3" s="133" t="s">
        <v>128</v>
      </c>
    </row>
    <row r="4" spans="1:17" ht="43.25" customHeight="1">
      <c r="B4" s="96"/>
      <c r="C4" s="58" t="s">
        <v>96</v>
      </c>
      <c r="D4" s="96"/>
      <c r="E4" s="97"/>
      <c r="F4" s="97"/>
      <c r="G4" s="96"/>
      <c r="H4" s="98"/>
      <c r="I4" s="96"/>
      <c r="J4" s="99">
        <v>127</v>
      </c>
      <c r="K4" s="99">
        <v>119</v>
      </c>
      <c r="L4" s="99">
        <v>1</v>
      </c>
      <c r="M4" s="99">
        <v>1</v>
      </c>
      <c r="N4" s="100">
        <f t="shared" si="0"/>
        <v>0.93700787401574803</v>
      </c>
      <c r="O4" s="102">
        <f t="shared" si="0"/>
        <v>8.4033613445378148E-3</v>
      </c>
      <c r="P4" s="100">
        <f t="shared" si="0"/>
        <v>1</v>
      </c>
      <c r="Q4" s="133" t="s">
        <v>117</v>
      </c>
    </row>
    <row r="5" spans="1:17" ht="43.25" customHeight="1">
      <c r="B5" s="103"/>
      <c r="C5" s="58" t="s">
        <v>92</v>
      </c>
      <c r="D5" s="103"/>
      <c r="E5" s="103"/>
      <c r="F5" s="103"/>
      <c r="G5" s="104"/>
      <c r="H5" s="105"/>
      <c r="I5" s="105"/>
      <c r="J5" s="99">
        <v>8</v>
      </c>
      <c r="K5" s="99">
        <v>8</v>
      </c>
      <c r="L5" s="99">
        <v>0</v>
      </c>
      <c r="M5" s="99">
        <v>0</v>
      </c>
      <c r="N5" s="100">
        <f t="shared" si="0"/>
        <v>1</v>
      </c>
      <c r="O5" s="102">
        <f t="shared" si="0"/>
        <v>0</v>
      </c>
      <c r="P5" s="100" t="e">
        <f t="shared" si="0"/>
        <v>#DIV/0!</v>
      </c>
      <c r="Q5" s="133" t="s">
        <v>118</v>
      </c>
    </row>
    <row r="6" spans="1:17" ht="43.25" customHeight="1">
      <c r="B6" s="103"/>
      <c r="C6" s="58" t="s">
        <v>93</v>
      </c>
      <c r="D6" s="103"/>
      <c r="E6" s="103"/>
      <c r="F6" s="103"/>
      <c r="G6" s="104"/>
      <c r="H6" s="105"/>
      <c r="I6" s="105"/>
      <c r="J6" s="99">
        <v>3</v>
      </c>
      <c r="K6" s="99">
        <v>3</v>
      </c>
      <c r="L6" s="99">
        <v>0</v>
      </c>
      <c r="M6" s="99">
        <v>0</v>
      </c>
      <c r="N6" s="100">
        <f t="shared" si="0"/>
        <v>1</v>
      </c>
      <c r="O6" s="102">
        <f t="shared" si="0"/>
        <v>0</v>
      </c>
      <c r="P6" s="100" t="e">
        <f t="shared" si="0"/>
        <v>#DIV/0!</v>
      </c>
      <c r="Q6" s="133" t="s">
        <v>122</v>
      </c>
    </row>
    <row r="7" spans="1:17" ht="43.25" customHeight="1">
      <c r="B7" s="103"/>
      <c r="C7" s="58" t="s">
        <v>97</v>
      </c>
      <c r="D7" s="103"/>
      <c r="E7" s="103"/>
      <c r="F7" s="103"/>
      <c r="G7" s="104"/>
      <c r="H7" s="105"/>
      <c r="I7" s="105"/>
      <c r="J7" s="99">
        <v>82</v>
      </c>
      <c r="K7" s="99">
        <v>82</v>
      </c>
      <c r="L7" s="99">
        <v>3</v>
      </c>
      <c r="M7" s="99">
        <v>3</v>
      </c>
      <c r="N7" s="100">
        <f t="shared" si="0"/>
        <v>1</v>
      </c>
      <c r="O7" s="102">
        <f t="shared" si="0"/>
        <v>3.6585365853658534E-2</v>
      </c>
      <c r="P7" s="100">
        <f t="shared" si="0"/>
        <v>1</v>
      </c>
      <c r="Q7" s="133" t="s">
        <v>119</v>
      </c>
    </row>
    <row r="8" spans="1:17" ht="43.25" customHeight="1">
      <c r="B8" s="103"/>
      <c r="C8" s="58" t="s">
        <v>64</v>
      </c>
      <c r="D8" s="103"/>
      <c r="E8" s="103"/>
      <c r="F8" s="103"/>
      <c r="G8" s="104"/>
      <c r="H8" s="105"/>
      <c r="I8" s="105"/>
      <c r="J8" s="99">
        <v>98</v>
      </c>
      <c r="K8" s="99">
        <v>98</v>
      </c>
      <c r="L8" s="99">
        <v>0</v>
      </c>
      <c r="M8" s="99">
        <v>0</v>
      </c>
      <c r="N8" s="100">
        <f t="shared" si="0"/>
        <v>1</v>
      </c>
      <c r="O8" s="102">
        <f t="shared" si="0"/>
        <v>0</v>
      </c>
      <c r="P8" s="100" t="e">
        <f t="shared" si="0"/>
        <v>#DIV/0!</v>
      </c>
      <c r="Q8" s="133" t="s">
        <v>120</v>
      </c>
    </row>
    <row r="9" spans="1:17" ht="43.25" customHeight="1">
      <c r="B9" s="103"/>
      <c r="C9" s="58" t="s">
        <v>66</v>
      </c>
      <c r="D9" s="103"/>
      <c r="E9" s="103"/>
      <c r="F9" s="103"/>
      <c r="G9" s="104"/>
      <c r="H9" s="105"/>
      <c r="I9" s="105"/>
      <c r="J9" s="99">
        <v>83</v>
      </c>
      <c r="K9" s="99">
        <v>83</v>
      </c>
      <c r="L9" s="99">
        <v>0</v>
      </c>
      <c r="M9" s="99">
        <v>0</v>
      </c>
      <c r="N9" s="100">
        <f t="shared" si="0"/>
        <v>1</v>
      </c>
      <c r="O9" s="102">
        <f t="shared" si="0"/>
        <v>0</v>
      </c>
      <c r="P9" s="106" t="e">
        <f t="shared" si="0"/>
        <v>#DIV/0!</v>
      </c>
      <c r="Q9" s="133" t="s">
        <v>121</v>
      </c>
    </row>
    <row r="10" spans="1:17">
      <c r="M10" s="107"/>
      <c r="P10" s="85"/>
    </row>
    <row r="11" spans="1:17">
      <c r="P11" s="85"/>
    </row>
  </sheetData>
  <autoFilter ref="A1:Q1" xr:uid="{A0499EC0-9336-4A43-84AD-C0713E773EA7}"/>
  <conditionalFormatting sqref="B1:B1048576">
    <cfRule type="duplicateValues" dxfId="7" priority="1"/>
  </conditionalFormatting>
  <conditionalFormatting sqref="E2:F2">
    <cfRule type="expression" priority="5">
      <formula>MOD(E687:E1048269,2)&gt;0</formula>
    </cfRule>
  </conditionalFormatting>
  <conditionalFormatting sqref="E2:F4">
    <cfRule type="expression" dxfId="6" priority="4">
      <formula xml:space="preserve"> MOD(E:E/2,1)&gt;0</formula>
    </cfRule>
  </conditionalFormatting>
  <conditionalFormatting sqref="E3:F3">
    <cfRule type="expression" priority="6">
      <formula>MOD(E690:E1048272,2)&gt;0</formula>
    </cfRule>
  </conditionalFormatting>
  <conditionalFormatting sqref="E4:F4">
    <cfRule type="expression" priority="2">
      <formula>MOD(E693:E1048275,2)&gt;0</formula>
    </cfRule>
    <cfRule type="expression" priority="3">
      <formula>MOD(E692:E1048274,2)&gt;0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C65F-6D78-4CFB-9842-DF6BF42ADF9C}">
  <dimension ref="A1:G43"/>
  <sheetViews>
    <sheetView topLeftCell="A12" workbookViewId="0">
      <selection activeCell="C42" activeCellId="3" sqref="C9 C20 C31 C42"/>
    </sheetView>
  </sheetViews>
  <sheetFormatPr defaultColWidth="9.26953125" defaultRowHeight="14.5"/>
  <cols>
    <col min="1" max="1" width="73.08984375" bestFit="1" customWidth="1"/>
    <col min="2" max="2" width="19.6328125" bestFit="1" customWidth="1"/>
    <col min="3" max="4" width="3.81640625" bestFit="1" customWidth="1"/>
    <col min="5" max="5" width="5.26953125" bestFit="1" customWidth="1"/>
    <col min="6" max="7" width="3.81640625" bestFit="1" customWidth="1"/>
  </cols>
  <sheetData>
    <row r="1" spans="1:7">
      <c r="A1" s="85" t="s">
        <v>98</v>
      </c>
      <c r="B1" s="85"/>
      <c r="C1" s="86"/>
      <c r="D1" s="82"/>
      <c r="E1" s="81"/>
      <c r="F1" s="81"/>
      <c r="G1" s="81"/>
    </row>
    <row r="2" spans="1:7" ht="15.5">
      <c r="A2" s="121" t="s">
        <v>99</v>
      </c>
      <c r="B2" s="108" t="s">
        <v>100</v>
      </c>
      <c r="C2" s="130">
        <v>0</v>
      </c>
      <c r="D2" s="130">
        <v>0</v>
      </c>
      <c r="E2" s="122">
        <v>0</v>
      </c>
      <c r="F2" s="122">
        <v>0</v>
      </c>
      <c r="G2" s="122">
        <v>0</v>
      </c>
    </row>
    <row r="3" spans="1:7" ht="15.5">
      <c r="A3" s="121" t="s">
        <v>95</v>
      </c>
      <c r="B3" s="108" t="s">
        <v>101</v>
      </c>
      <c r="C3" s="122">
        <v>18</v>
      </c>
      <c r="D3" s="122">
        <v>15</v>
      </c>
      <c r="E3" s="122">
        <v>0</v>
      </c>
      <c r="F3" s="122">
        <v>0</v>
      </c>
      <c r="G3" s="122">
        <v>0</v>
      </c>
    </row>
    <row r="4" spans="1:7" ht="15.5">
      <c r="A4" s="121" t="s">
        <v>96</v>
      </c>
      <c r="B4" s="108" t="s">
        <v>101</v>
      </c>
      <c r="C4" s="122">
        <v>16</v>
      </c>
      <c r="D4" s="122">
        <v>7</v>
      </c>
      <c r="E4" s="122">
        <v>0</v>
      </c>
      <c r="F4" s="122">
        <v>0</v>
      </c>
      <c r="G4" s="122">
        <v>0</v>
      </c>
    </row>
    <row r="5" spans="1:7" ht="15.5">
      <c r="A5" s="121" t="s">
        <v>92</v>
      </c>
      <c r="B5" s="108" t="s">
        <v>101</v>
      </c>
      <c r="C5" s="122">
        <v>3</v>
      </c>
      <c r="D5" s="122">
        <v>0</v>
      </c>
      <c r="E5" s="122">
        <v>0</v>
      </c>
      <c r="F5" s="122">
        <v>0</v>
      </c>
      <c r="G5" s="122">
        <v>0</v>
      </c>
    </row>
    <row r="6" spans="1:7" ht="15.5">
      <c r="A6" s="121" t="s">
        <v>93</v>
      </c>
      <c r="B6" s="108" t="s">
        <v>101</v>
      </c>
      <c r="C6" s="122">
        <v>0</v>
      </c>
      <c r="D6" s="122">
        <v>0</v>
      </c>
      <c r="E6" s="122">
        <v>0</v>
      </c>
      <c r="F6" s="122">
        <v>0</v>
      </c>
      <c r="G6" s="122">
        <v>0</v>
      </c>
    </row>
    <row r="7" spans="1:7" ht="15.5">
      <c r="A7" s="121" t="s">
        <v>97</v>
      </c>
      <c r="B7" s="108" t="s">
        <v>101</v>
      </c>
      <c r="C7" s="122">
        <v>56</v>
      </c>
      <c r="D7" s="122">
        <v>17</v>
      </c>
      <c r="E7" s="122">
        <v>0</v>
      </c>
      <c r="F7" s="122">
        <v>0</v>
      </c>
      <c r="G7" s="122">
        <v>0</v>
      </c>
    </row>
    <row r="8" spans="1:7" ht="15.5">
      <c r="A8" s="121" t="s">
        <v>64</v>
      </c>
      <c r="B8" s="108" t="s">
        <v>102</v>
      </c>
      <c r="C8" s="122">
        <v>36</v>
      </c>
      <c r="D8" s="122">
        <v>36</v>
      </c>
      <c r="E8" s="122">
        <v>112</v>
      </c>
      <c r="F8" s="122">
        <v>0</v>
      </c>
      <c r="G8" s="122">
        <v>0</v>
      </c>
    </row>
    <row r="9" spans="1:7" ht="15.5">
      <c r="A9" s="121" t="s">
        <v>66</v>
      </c>
      <c r="B9" s="109" t="s">
        <v>102</v>
      </c>
      <c r="C9" s="123">
        <v>45</v>
      </c>
      <c r="D9" s="123">
        <v>45</v>
      </c>
      <c r="E9" s="110">
        <v>0</v>
      </c>
      <c r="F9" s="122">
        <v>17</v>
      </c>
      <c r="G9" s="122">
        <v>7</v>
      </c>
    </row>
    <row r="10" spans="1:7" ht="15.5">
      <c r="A10" s="121" t="s">
        <v>49</v>
      </c>
      <c r="B10" s="111" t="s">
        <v>103</v>
      </c>
      <c r="C10" s="112">
        <v>26</v>
      </c>
      <c r="D10" s="124">
        <v>27</v>
      </c>
      <c r="E10" s="124">
        <v>482</v>
      </c>
      <c r="F10" s="125">
        <v>20</v>
      </c>
      <c r="G10" s="122">
        <v>12</v>
      </c>
    </row>
    <row r="11" spans="1:7">
      <c r="A11" s="85"/>
      <c r="B11" s="85"/>
      <c r="C11" s="86"/>
      <c r="D11" s="82"/>
      <c r="E11" s="81"/>
      <c r="F11" s="81"/>
      <c r="G11" s="81"/>
    </row>
    <row r="12" spans="1:7">
      <c r="A12" s="85" t="s">
        <v>104</v>
      </c>
      <c r="B12" s="85"/>
      <c r="C12" s="86"/>
      <c r="D12" s="82"/>
      <c r="E12" s="81"/>
      <c r="F12" s="81"/>
      <c r="G12" s="81"/>
    </row>
    <row r="13" spans="1:7" ht="15.5">
      <c r="A13" s="126" t="s">
        <v>99</v>
      </c>
      <c r="B13" s="113" t="s">
        <v>100</v>
      </c>
      <c r="C13" s="131">
        <v>43</v>
      </c>
      <c r="D13" s="131">
        <v>43</v>
      </c>
      <c r="E13" s="127">
        <v>0</v>
      </c>
      <c r="F13" s="127">
        <v>0</v>
      </c>
      <c r="G13" s="127">
        <v>0</v>
      </c>
    </row>
    <row r="14" spans="1:7" ht="15.5">
      <c r="A14" s="126" t="s">
        <v>63</v>
      </c>
      <c r="B14" s="127" t="s">
        <v>105</v>
      </c>
      <c r="C14" s="127">
        <v>17</v>
      </c>
      <c r="D14" s="127">
        <v>10</v>
      </c>
      <c r="E14" s="127">
        <v>0</v>
      </c>
      <c r="F14" s="127">
        <v>0</v>
      </c>
      <c r="G14" s="127">
        <v>0</v>
      </c>
    </row>
    <row r="15" spans="1:7" ht="15.5">
      <c r="A15" s="126" t="s">
        <v>62</v>
      </c>
      <c r="B15" s="127" t="s">
        <v>105</v>
      </c>
      <c r="C15" s="127">
        <v>26</v>
      </c>
      <c r="D15" s="127">
        <v>21</v>
      </c>
      <c r="E15" s="127">
        <v>0</v>
      </c>
      <c r="F15" s="127">
        <v>0</v>
      </c>
      <c r="G15" s="127">
        <v>0</v>
      </c>
    </row>
    <row r="16" spans="1:7" ht="15.5">
      <c r="A16" s="126" t="s">
        <v>92</v>
      </c>
      <c r="B16" s="127" t="s">
        <v>105</v>
      </c>
      <c r="C16" s="127">
        <v>3</v>
      </c>
      <c r="D16" s="127">
        <v>0</v>
      </c>
      <c r="E16" s="127">
        <v>0</v>
      </c>
      <c r="F16" s="127">
        <v>0</v>
      </c>
      <c r="G16" s="127">
        <v>0</v>
      </c>
    </row>
    <row r="17" spans="1:7" ht="15.5">
      <c r="A17" s="126" t="s">
        <v>93</v>
      </c>
      <c r="B17" s="127" t="s">
        <v>105</v>
      </c>
      <c r="C17" s="127">
        <v>0</v>
      </c>
      <c r="D17" s="127">
        <v>0</v>
      </c>
      <c r="E17" s="127">
        <v>0</v>
      </c>
      <c r="F17" s="127">
        <v>0</v>
      </c>
      <c r="G17" s="127">
        <v>0</v>
      </c>
    </row>
    <row r="18" spans="1:7" ht="15.5">
      <c r="A18" s="126" t="s">
        <v>94</v>
      </c>
      <c r="B18" s="127" t="s">
        <v>105</v>
      </c>
      <c r="C18" s="127">
        <v>37</v>
      </c>
      <c r="D18" s="127">
        <v>11</v>
      </c>
      <c r="E18" s="127">
        <v>0</v>
      </c>
      <c r="F18" s="127">
        <v>0</v>
      </c>
      <c r="G18" s="127">
        <v>0</v>
      </c>
    </row>
    <row r="19" spans="1:7" ht="15.5">
      <c r="A19" s="126" t="s">
        <v>64</v>
      </c>
      <c r="B19" s="113" t="s">
        <v>106</v>
      </c>
      <c r="C19" s="127">
        <v>39</v>
      </c>
      <c r="D19" s="127">
        <v>39</v>
      </c>
      <c r="E19" s="127">
        <v>124</v>
      </c>
      <c r="F19" s="127">
        <v>1</v>
      </c>
      <c r="G19" s="127">
        <v>1</v>
      </c>
    </row>
    <row r="20" spans="1:7" ht="15.5">
      <c r="A20" s="126" t="s">
        <v>66</v>
      </c>
      <c r="B20" s="113" t="s">
        <v>106</v>
      </c>
      <c r="C20" s="127">
        <v>18</v>
      </c>
      <c r="D20" s="127">
        <v>15</v>
      </c>
      <c r="E20" s="114">
        <v>0</v>
      </c>
      <c r="F20" s="127">
        <v>3</v>
      </c>
      <c r="G20" s="127">
        <v>3</v>
      </c>
    </row>
    <row r="21" spans="1:7" ht="15.5">
      <c r="A21" s="126" t="s">
        <v>49</v>
      </c>
      <c r="B21" s="113" t="s">
        <v>107</v>
      </c>
      <c r="C21" s="114">
        <v>38</v>
      </c>
      <c r="D21" s="127">
        <v>36</v>
      </c>
      <c r="E21" s="127">
        <v>483</v>
      </c>
      <c r="F21" s="127">
        <v>20</v>
      </c>
      <c r="G21" s="127">
        <v>13</v>
      </c>
    </row>
    <row r="22" spans="1:7">
      <c r="A22" s="85"/>
      <c r="B22" s="85"/>
      <c r="C22" s="86"/>
      <c r="D22" s="82"/>
      <c r="E22" s="81"/>
      <c r="F22" s="81"/>
      <c r="G22" s="81"/>
    </row>
    <row r="23" spans="1:7">
      <c r="A23" s="85" t="s">
        <v>108</v>
      </c>
      <c r="B23" s="85"/>
      <c r="C23" s="86"/>
      <c r="D23" s="82"/>
      <c r="E23" s="81"/>
      <c r="F23" s="81"/>
      <c r="G23" s="81"/>
    </row>
    <row r="24" spans="1:7" ht="15.5">
      <c r="A24" s="126" t="s">
        <v>99</v>
      </c>
      <c r="B24" s="108" t="s">
        <v>109</v>
      </c>
      <c r="C24" s="130">
        <v>40</v>
      </c>
      <c r="D24" s="130">
        <v>40</v>
      </c>
      <c r="E24" s="122">
        <v>0</v>
      </c>
      <c r="F24" s="122">
        <v>0</v>
      </c>
      <c r="G24" s="122">
        <v>0</v>
      </c>
    </row>
    <row r="25" spans="1:7" ht="15.5">
      <c r="A25" s="126" t="s">
        <v>63</v>
      </c>
      <c r="B25" s="108" t="s">
        <v>110</v>
      </c>
      <c r="C25" s="122">
        <v>12</v>
      </c>
      <c r="D25" s="122">
        <v>9</v>
      </c>
      <c r="E25" s="122">
        <v>0</v>
      </c>
      <c r="F25" s="122">
        <v>0</v>
      </c>
      <c r="G25" s="122">
        <v>0</v>
      </c>
    </row>
    <row r="26" spans="1:7" ht="15.5">
      <c r="A26" s="126" t="s">
        <v>62</v>
      </c>
      <c r="B26" s="108" t="s">
        <v>110</v>
      </c>
      <c r="C26" s="122">
        <v>43</v>
      </c>
      <c r="D26" s="122">
        <v>34</v>
      </c>
      <c r="E26" s="122">
        <v>0</v>
      </c>
      <c r="F26" s="122">
        <v>0</v>
      </c>
      <c r="G26" s="122">
        <v>0</v>
      </c>
    </row>
    <row r="27" spans="1:7" ht="15.5">
      <c r="A27" s="126" t="s">
        <v>92</v>
      </c>
      <c r="B27" s="108" t="s">
        <v>110</v>
      </c>
      <c r="C27" s="122">
        <v>2</v>
      </c>
      <c r="D27" s="122">
        <v>1</v>
      </c>
      <c r="E27" s="122">
        <v>0</v>
      </c>
      <c r="F27" s="122">
        <v>0</v>
      </c>
      <c r="G27" s="122">
        <v>0</v>
      </c>
    </row>
    <row r="28" spans="1:7" ht="15.5">
      <c r="A28" s="126" t="s">
        <v>93</v>
      </c>
      <c r="B28" s="108" t="s">
        <v>110</v>
      </c>
      <c r="C28" s="122">
        <v>0</v>
      </c>
      <c r="D28" s="122">
        <v>0</v>
      </c>
      <c r="E28" s="122">
        <v>0</v>
      </c>
      <c r="F28" s="122">
        <v>0</v>
      </c>
      <c r="G28" s="122">
        <v>0</v>
      </c>
    </row>
    <row r="29" spans="1:7" ht="15.5">
      <c r="A29" s="126" t="s">
        <v>94</v>
      </c>
      <c r="B29" s="108" t="s">
        <v>110</v>
      </c>
      <c r="C29" s="122">
        <v>54</v>
      </c>
      <c r="D29" s="122">
        <v>37</v>
      </c>
      <c r="E29" s="122">
        <v>0</v>
      </c>
      <c r="F29" s="122">
        <v>3</v>
      </c>
      <c r="G29" s="122">
        <v>3</v>
      </c>
    </row>
    <row r="30" spans="1:7" ht="15.5">
      <c r="A30" s="126" t="s">
        <v>64</v>
      </c>
      <c r="B30" s="108" t="s">
        <v>109</v>
      </c>
      <c r="C30" s="122">
        <v>23</v>
      </c>
      <c r="D30" s="122">
        <v>23</v>
      </c>
      <c r="E30" s="122">
        <v>89</v>
      </c>
      <c r="F30" s="122">
        <v>2</v>
      </c>
      <c r="G30" s="122">
        <v>2</v>
      </c>
    </row>
    <row r="31" spans="1:7" ht="15.5">
      <c r="A31" s="126" t="s">
        <v>66</v>
      </c>
      <c r="B31" s="109" t="s">
        <v>109</v>
      </c>
      <c r="C31" s="123">
        <v>11</v>
      </c>
      <c r="D31" s="123">
        <v>11</v>
      </c>
      <c r="E31" s="115">
        <v>0</v>
      </c>
      <c r="F31" s="123">
        <v>4</v>
      </c>
      <c r="G31" s="123">
        <v>4</v>
      </c>
    </row>
    <row r="32" spans="1:7" ht="15.5">
      <c r="A32" s="126" t="s">
        <v>49</v>
      </c>
      <c r="B32" s="111" t="s">
        <v>111</v>
      </c>
      <c r="C32" s="116">
        <v>38</v>
      </c>
      <c r="D32" s="124">
        <v>37</v>
      </c>
      <c r="E32" s="124">
        <v>483</v>
      </c>
      <c r="F32" s="124">
        <v>20</v>
      </c>
      <c r="G32" s="124">
        <v>13</v>
      </c>
    </row>
    <row r="33" spans="1:7">
      <c r="A33" s="85"/>
      <c r="B33" s="85"/>
      <c r="C33" s="86"/>
      <c r="D33" s="82"/>
      <c r="E33" s="81"/>
      <c r="F33" s="81"/>
      <c r="G33" s="81"/>
    </row>
    <row r="34" spans="1:7">
      <c r="A34" s="85" t="s">
        <v>112</v>
      </c>
      <c r="B34" s="85"/>
      <c r="C34" s="86"/>
      <c r="D34" s="82"/>
      <c r="E34" s="81"/>
      <c r="F34" s="81"/>
      <c r="G34" s="81"/>
    </row>
    <row r="35" spans="1:7" ht="15.5">
      <c r="A35" s="126" t="s">
        <v>99</v>
      </c>
      <c r="B35" s="117" t="s">
        <v>113</v>
      </c>
      <c r="C35" s="132">
        <v>13</v>
      </c>
      <c r="D35" s="132">
        <v>13</v>
      </c>
      <c r="E35" s="118">
        <v>0</v>
      </c>
      <c r="F35" s="118">
        <v>0</v>
      </c>
      <c r="G35" s="118">
        <v>0</v>
      </c>
    </row>
    <row r="36" spans="1:7" ht="15.5">
      <c r="A36" s="126" t="s">
        <v>63</v>
      </c>
      <c r="B36" s="117" t="s">
        <v>114</v>
      </c>
      <c r="C36" s="118">
        <v>33</v>
      </c>
      <c r="D36" s="118">
        <v>32</v>
      </c>
      <c r="E36" s="118">
        <v>0</v>
      </c>
      <c r="F36" s="118">
        <v>0</v>
      </c>
      <c r="G36" s="118">
        <v>0</v>
      </c>
    </row>
    <row r="37" spans="1:7" ht="15.5">
      <c r="A37" s="126" t="s">
        <v>62</v>
      </c>
      <c r="B37" s="117" t="s">
        <v>114</v>
      </c>
      <c r="C37" s="118">
        <v>71</v>
      </c>
      <c r="D37" s="118">
        <v>53</v>
      </c>
      <c r="E37" s="118">
        <v>0</v>
      </c>
      <c r="F37" s="118">
        <v>1</v>
      </c>
      <c r="G37" s="118">
        <v>1</v>
      </c>
    </row>
    <row r="38" spans="1:7" ht="15.5">
      <c r="A38" s="126" t="s">
        <v>92</v>
      </c>
      <c r="B38" s="117" t="s">
        <v>114</v>
      </c>
      <c r="C38" s="118">
        <v>1</v>
      </c>
      <c r="D38" s="118">
        <v>1</v>
      </c>
      <c r="E38" s="118">
        <v>0</v>
      </c>
      <c r="F38" s="118">
        <v>0</v>
      </c>
      <c r="G38" s="118">
        <v>0</v>
      </c>
    </row>
    <row r="39" spans="1:7" ht="15.5">
      <c r="A39" s="126" t="s">
        <v>93</v>
      </c>
      <c r="B39" s="117" t="s">
        <v>114</v>
      </c>
      <c r="C39" s="118">
        <v>0</v>
      </c>
      <c r="D39" s="118">
        <v>0</v>
      </c>
      <c r="E39" s="118">
        <v>0</v>
      </c>
      <c r="F39" s="118">
        <v>0</v>
      </c>
      <c r="G39" s="118">
        <v>0</v>
      </c>
    </row>
    <row r="40" spans="1:7" ht="15.5">
      <c r="A40" s="126" t="s">
        <v>94</v>
      </c>
      <c r="B40" s="117" t="s">
        <v>114</v>
      </c>
      <c r="C40" s="118">
        <v>21</v>
      </c>
      <c r="D40" s="118">
        <v>3</v>
      </c>
      <c r="E40" s="118">
        <v>0</v>
      </c>
      <c r="F40" s="118">
        <v>0</v>
      </c>
      <c r="G40" s="118">
        <v>0</v>
      </c>
    </row>
    <row r="41" spans="1:7" ht="15.5">
      <c r="A41" s="126" t="s">
        <v>64</v>
      </c>
      <c r="B41" s="117" t="s">
        <v>115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</row>
    <row r="42" spans="1:7" ht="15.5">
      <c r="A42" s="126" t="s">
        <v>66</v>
      </c>
      <c r="B42" s="117" t="s">
        <v>115</v>
      </c>
      <c r="C42" s="128">
        <v>9</v>
      </c>
      <c r="D42" s="128">
        <v>7</v>
      </c>
      <c r="E42" s="119">
        <v>0</v>
      </c>
      <c r="F42" s="128">
        <v>2</v>
      </c>
      <c r="G42" s="128">
        <v>2</v>
      </c>
    </row>
    <row r="43" spans="1:7" ht="15.5">
      <c r="A43" s="126" t="s">
        <v>49</v>
      </c>
      <c r="B43" s="117" t="s">
        <v>111</v>
      </c>
      <c r="C43" s="120">
        <v>38</v>
      </c>
      <c r="D43" s="129">
        <v>37</v>
      </c>
      <c r="E43" s="129">
        <v>483</v>
      </c>
      <c r="F43" s="129">
        <v>20</v>
      </c>
      <c r="G43" s="129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4BAB-2434-46ED-B7D8-99E735A99A86}">
  <sheetPr>
    <tabColor theme="9" tint="0.59999389629810485"/>
  </sheetPr>
  <dimension ref="A1:AC11"/>
  <sheetViews>
    <sheetView topLeftCell="B1" zoomScale="85" zoomScaleNormal="115" workbookViewId="0">
      <pane xSplit="3" ySplit="1" topLeftCell="J2" activePane="bottomRight" state="frozen"/>
      <selection pane="topRight" activeCell="G15" sqref="G15"/>
      <selection pane="bottomLeft" activeCell="G15" sqref="G15"/>
      <selection pane="bottomRight" activeCell="N3" sqref="N3"/>
    </sheetView>
  </sheetViews>
  <sheetFormatPr defaultColWidth="9.1796875" defaultRowHeight="12.5"/>
  <cols>
    <col min="1" max="1" width="9.1796875" style="81"/>
    <col min="2" max="2" width="14.7265625" style="81" hidden="1" customWidth="1"/>
    <col min="3" max="3" width="38" style="82" bestFit="1" customWidth="1"/>
    <col min="4" max="4" width="14.54296875" style="82" hidden="1" customWidth="1"/>
    <col min="5" max="5" width="14.36328125" style="83" hidden="1" customWidth="1"/>
    <col min="6" max="6" width="13.81640625" style="83" hidden="1" customWidth="1"/>
    <col min="7" max="7" width="25.81640625" style="84" hidden="1" customWidth="1"/>
    <col min="8" max="8" width="20.54296875" style="85" hidden="1" customWidth="1"/>
    <col min="9" max="9" width="17.36328125" style="85" hidden="1" customWidth="1"/>
    <col min="10" max="10" width="19.81640625" style="85" bestFit="1" customWidth="1"/>
    <col min="11" max="11" width="25.7265625" style="85" bestFit="1" customWidth="1"/>
    <col min="12" max="12" width="11.36328125" style="85" bestFit="1" customWidth="1"/>
    <col min="13" max="13" width="16.81640625" style="85" bestFit="1" customWidth="1"/>
    <col min="14" max="14" width="27.1796875" style="85" bestFit="1" customWidth="1"/>
    <col min="15" max="15" width="19.26953125" style="85" bestFit="1" customWidth="1"/>
    <col min="16" max="16" width="27.1796875" style="86" bestFit="1" customWidth="1"/>
    <col min="17" max="17" width="73.6328125" style="87" customWidth="1"/>
    <col min="18" max="16384" width="9.1796875" style="81"/>
  </cols>
  <sheetData>
    <row r="1" spans="1:29" ht="14">
      <c r="B1" s="88" t="s">
        <v>0</v>
      </c>
      <c r="C1" s="89" t="s">
        <v>1</v>
      </c>
      <c r="D1" s="88" t="s">
        <v>2</v>
      </c>
      <c r="E1" s="90" t="s">
        <v>3</v>
      </c>
      <c r="F1" s="91" t="s">
        <v>4</v>
      </c>
      <c r="G1" s="90" t="s">
        <v>5</v>
      </c>
      <c r="H1" s="91" t="s">
        <v>6</v>
      </c>
      <c r="I1" s="92" t="s">
        <v>7</v>
      </c>
      <c r="J1" s="92" t="s">
        <v>10</v>
      </c>
      <c r="K1" s="92" t="s">
        <v>11</v>
      </c>
      <c r="L1" s="92" t="s">
        <v>12</v>
      </c>
      <c r="M1" s="92" t="s">
        <v>13</v>
      </c>
      <c r="N1" s="93" t="s">
        <v>58</v>
      </c>
      <c r="O1" s="93" t="s">
        <v>59</v>
      </c>
      <c r="P1" s="94" t="s">
        <v>60</v>
      </c>
      <c r="Q1" s="95" t="s">
        <v>17</v>
      </c>
    </row>
    <row r="2" spans="1:29" ht="43.25" customHeight="1">
      <c r="B2" s="96"/>
      <c r="C2" s="58" t="s">
        <v>65</v>
      </c>
      <c r="D2" s="96"/>
      <c r="E2" s="97"/>
      <c r="F2" s="97"/>
      <c r="G2" s="96"/>
      <c r="H2" s="98"/>
      <c r="I2" s="96"/>
      <c r="J2" s="99">
        <f>SUM(U2,Z2)</f>
        <v>50</v>
      </c>
      <c r="K2" s="99">
        <f t="shared" ref="K2:M2" si="0">SUM(V2,AA2)</f>
        <v>50</v>
      </c>
      <c r="L2" s="99">
        <f t="shared" si="0"/>
        <v>0</v>
      </c>
      <c r="M2" s="99">
        <f t="shared" si="0"/>
        <v>0</v>
      </c>
      <c r="N2" s="100">
        <f t="shared" ref="N2:P9" si="1">K2/J2</f>
        <v>1</v>
      </c>
      <c r="O2" s="100">
        <f t="shared" si="1"/>
        <v>0</v>
      </c>
      <c r="P2" s="100" t="e">
        <f t="shared" si="1"/>
        <v>#DIV/0!</v>
      </c>
      <c r="Q2" s="133"/>
      <c r="U2" s="134">
        <v>26</v>
      </c>
      <c r="V2" s="134">
        <v>26</v>
      </c>
      <c r="W2" s="134">
        <v>0</v>
      </c>
      <c r="X2" s="134">
        <v>0</v>
      </c>
      <c r="Z2" s="134">
        <v>24</v>
      </c>
      <c r="AA2" s="134">
        <v>24</v>
      </c>
      <c r="AB2" s="134">
        <v>0</v>
      </c>
      <c r="AC2" s="134">
        <v>0</v>
      </c>
    </row>
    <row r="3" spans="1:29" ht="43.25" customHeight="1">
      <c r="A3" s="101"/>
      <c r="B3" s="96"/>
      <c r="C3" s="58" t="s">
        <v>95</v>
      </c>
      <c r="D3" s="96"/>
      <c r="E3" s="97"/>
      <c r="F3" s="97"/>
      <c r="G3" s="96"/>
      <c r="H3" s="98"/>
      <c r="I3" s="96"/>
      <c r="J3" s="99">
        <v>105</v>
      </c>
      <c r="K3" s="99">
        <v>105</v>
      </c>
      <c r="L3" s="99">
        <v>0</v>
      </c>
      <c r="M3" s="99">
        <v>0</v>
      </c>
      <c r="N3" s="100">
        <f t="shared" si="1"/>
        <v>1</v>
      </c>
      <c r="O3" s="102">
        <f t="shared" si="1"/>
        <v>0</v>
      </c>
      <c r="P3" s="100" t="e">
        <f t="shared" si="1"/>
        <v>#DIV/0!</v>
      </c>
      <c r="Q3" s="133"/>
      <c r="U3" s="134">
        <v>21</v>
      </c>
      <c r="V3" s="134">
        <v>20</v>
      </c>
      <c r="W3" s="134">
        <v>0</v>
      </c>
      <c r="X3" s="134">
        <v>0</v>
      </c>
      <c r="Z3" s="134">
        <v>19</v>
      </c>
      <c r="AA3" s="134">
        <v>19</v>
      </c>
      <c r="AB3" s="134">
        <v>0</v>
      </c>
      <c r="AC3" s="134">
        <v>0</v>
      </c>
    </row>
    <row r="4" spans="1:29" ht="43.25" customHeight="1">
      <c r="B4" s="96"/>
      <c r="C4" s="58" t="s">
        <v>96</v>
      </c>
      <c r="D4" s="96"/>
      <c r="E4" s="97"/>
      <c r="F4" s="97"/>
      <c r="G4" s="96"/>
      <c r="H4" s="98"/>
      <c r="I4" s="96"/>
      <c r="J4" s="99">
        <v>98</v>
      </c>
      <c r="K4" s="99">
        <v>95</v>
      </c>
      <c r="L4" s="99">
        <v>0</v>
      </c>
      <c r="M4" s="99">
        <v>0</v>
      </c>
      <c r="N4" s="100">
        <f t="shared" si="1"/>
        <v>0.96938775510204078</v>
      </c>
      <c r="O4" s="102">
        <f t="shared" si="1"/>
        <v>0</v>
      </c>
      <c r="P4" s="100" t="e">
        <f t="shared" si="1"/>
        <v>#DIV/0!</v>
      </c>
      <c r="Q4" s="133"/>
      <c r="U4" s="134">
        <v>34</v>
      </c>
      <c r="V4" s="134">
        <v>24</v>
      </c>
      <c r="W4" s="134">
        <v>0</v>
      </c>
      <c r="X4" s="134">
        <v>0</v>
      </c>
      <c r="Z4" s="134">
        <v>35</v>
      </c>
      <c r="AA4" s="134">
        <v>21</v>
      </c>
      <c r="AB4" s="134">
        <v>0</v>
      </c>
      <c r="AC4" s="134">
        <v>0</v>
      </c>
    </row>
    <row r="5" spans="1:29" ht="43.25" customHeight="1">
      <c r="B5" s="103"/>
      <c r="C5" s="58" t="s">
        <v>92</v>
      </c>
      <c r="D5" s="103"/>
      <c r="E5" s="103"/>
      <c r="F5" s="103"/>
      <c r="G5" s="104"/>
      <c r="H5" s="105"/>
      <c r="I5" s="105"/>
      <c r="J5" s="99">
        <v>12</v>
      </c>
      <c r="K5" s="99">
        <v>12</v>
      </c>
      <c r="L5" s="99">
        <v>0</v>
      </c>
      <c r="M5" s="99">
        <v>0</v>
      </c>
      <c r="N5" s="100">
        <f t="shared" si="1"/>
        <v>1</v>
      </c>
      <c r="O5" s="102">
        <f t="shared" si="1"/>
        <v>0</v>
      </c>
      <c r="P5" s="100" t="e">
        <f t="shared" si="1"/>
        <v>#DIV/0!</v>
      </c>
      <c r="Q5" s="133"/>
      <c r="U5" s="134">
        <v>8</v>
      </c>
      <c r="V5" s="134">
        <v>5</v>
      </c>
      <c r="W5" s="134">
        <v>0</v>
      </c>
      <c r="X5" s="134">
        <v>0</v>
      </c>
      <c r="Z5" s="134">
        <v>3</v>
      </c>
      <c r="AA5" s="134">
        <v>1</v>
      </c>
      <c r="AB5" s="134">
        <v>0</v>
      </c>
      <c r="AC5" s="134">
        <v>0</v>
      </c>
    </row>
    <row r="6" spans="1:29" ht="43.25" customHeight="1">
      <c r="B6" s="103"/>
      <c r="C6" s="58" t="s">
        <v>93</v>
      </c>
      <c r="D6" s="103"/>
      <c r="E6" s="103"/>
      <c r="F6" s="103"/>
      <c r="G6" s="104"/>
      <c r="H6" s="105"/>
      <c r="I6" s="105"/>
      <c r="J6" s="99">
        <v>35</v>
      </c>
      <c r="K6" s="99">
        <v>35</v>
      </c>
      <c r="L6" s="99">
        <v>0</v>
      </c>
      <c r="M6" s="99">
        <v>0</v>
      </c>
      <c r="N6" s="100">
        <f t="shared" si="1"/>
        <v>1</v>
      </c>
      <c r="O6" s="102">
        <f t="shared" si="1"/>
        <v>0</v>
      </c>
      <c r="P6" s="100" t="e">
        <f t="shared" si="1"/>
        <v>#DIV/0!</v>
      </c>
      <c r="Q6" s="133"/>
      <c r="U6" s="134">
        <v>29</v>
      </c>
      <c r="V6" s="134">
        <v>4</v>
      </c>
      <c r="W6" s="134">
        <v>0</v>
      </c>
      <c r="X6" s="134">
        <v>0</v>
      </c>
      <c r="Z6" s="134">
        <v>8</v>
      </c>
      <c r="AA6" s="134">
        <v>8</v>
      </c>
      <c r="AB6" s="134">
        <v>0</v>
      </c>
      <c r="AC6" s="134">
        <v>0</v>
      </c>
    </row>
    <row r="7" spans="1:29" ht="43.25" customHeight="1">
      <c r="B7" s="103"/>
      <c r="C7" s="58" t="s">
        <v>97</v>
      </c>
      <c r="D7" s="103"/>
      <c r="E7" s="103"/>
      <c r="F7" s="103"/>
      <c r="G7" s="104"/>
      <c r="H7" s="105"/>
      <c r="I7" s="105"/>
      <c r="J7" s="99">
        <v>157</v>
      </c>
      <c r="K7" s="99">
        <v>156</v>
      </c>
      <c r="L7" s="99">
        <v>6</v>
      </c>
      <c r="M7" s="99">
        <v>6</v>
      </c>
      <c r="N7" s="100">
        <f t="shared" si="1"/>
        <v>0.99363057324840764</v>
      </c>
      <c r="O7" s="102">
        <f t="shared" si="1"/>
        <v>3.8461538461538464E-2</v>
      </c>
      <c r="P7" s="100">
        <f t="shared" si="1"/>
        <v>1</v>
      </c>
      <c r="Q7" s="133" t="s">
        <v>124</v>
      </c>
      <c r="U7" s="122">
        <v>48</v>
      </c>
      <c r="V7" s="134">
        <v>24</v>
      </c>
      <c r="W7" s="134">
        <v>1</v>
      </c>
      <c r="X7" s="134">
        <v>1</v>
      </c>
      <c r="Z7" s="122">
        <v>90</v>
      </c>
      <c r="AA7" s="134">
        <v>61</v>
      </c>
      <c r="AB7" s="134">
        <v>5</v>
      </c>
      <c r="AC7" s="134">
        <v>5</v>
      </c>
    </row>
    <row r="8" spans="1:29" ht="43.25" customHeight="1">
      <c r="B8" s="103"/>
      <c r="C8" s="58" t="s">
        <v>64</v>
      </c>
      <c r="D8" s="103"/>
      <c r="E8" s="103"/>
      <c r="F8" s="103"/>
      <c r="G8" s="104"/>
      <c r="H8" s="105"/>
      <c r="I8" s="105"/>
      <c r="J8" s="99">
        <f t="shared" ref="J8:J9" si="2">SUM(U8,Z8)</f>
        <v>77</v>
      </c>
      <c r="K8" s="99">
        <f t="shared" ref="K8:K9" si="3">SUM(V8,AA8)</f>
        <v>77</v>
      </c>
      <c r="L8" s="99">
        <f t="shared" ref="L8:L9" si="4">SUM(W8,AB8)</f>
        <v>1</v>
      </c>
      <c r="M8" s="99">
        <f t="shared" ref="M8:M9" si="5">SUM(X8,AC8)</f>
        <v>1</v>
      </c>
      <c r="N8" s="100">
        <f t="shared" si="1"/>
        <v>1</v>
      </c>
      <c r="O8" s="102">
        <f t="shared" si="1"/>
        <v>1.2987012987012988E-2</v>
      </c>
      <c r="P8" s="100">
        <f t="shared" si="1"/>
        <v>1</v>
      </c>
      <c r="Q8" s="133"/>
      <c r="U8" s="134">
        <v>38</v>
      </c>
      <c r="V8" s="134">
        <v>38</v>
      </c>
      <c r="W8" s="134">
        <v>0</v>
      </c>
      <c r="X8" s="134">
        <v>0</v>
      </c>
      <c r="Z8" s="134">
        <v>39</v>
      </c>
      <c r="AA8" s="134">
        <v>39</v>
      </c>
      <c r="AB8" s="134">
        <v>1</v>
      </c>
      <c r="AC8" s="134">
        <v>1</v>
      </c>
    </row>
    <row r="9" spans="1:29" ht="43.25" customHeight="1">
      <c r="B9" s="103"/>
      <c r="C9" s="58" t="s">
        <v>66</v>
      </c>
      <c r="D9" s="103"/>
      <c r="E9" s="103"/>
      <c r="F9" s="103"/>
      <c r="G9" s="104"/>
      <c r="H9" s="105"/>
      <c r="I9" s="105"/>
      <c r="J9" s="99">
        <f t="shared" si="2"/>
        <v>22</v>
      </c>
      <c r="K9" s="99">
        <f t="shared" si="3"/>
        <v>21</v>
      </c>
      <c r="L9" s="99">
        <f t="shared" si="4"/>
        <v>0</v>
      </c>
      <c r="M9" s="99">
        <f t="shared" si="5"/>
        <v>0</v>
      </c>
      <c r="N9" s="100">
        <f t="shared" si="1"/>
        <v>0.95454545454545459</v>
      </c>
      <c r="O9" s="102">
        <f t="shared" si="1"/>
        <v>0</v>
      </c>
      <c r="P9" s="106" t="e">
        <f t="shared" si="1"/>
        <v>#DIV/0!</v>
      </c>
      <c r="Q9" s="133"/>
      <c r="U9" s="134">
        <v>16</v>
      </c>
      <c r="V9" s="134">
        <v>15</v>
      </c>
      <c r="W9" s="134">
        <v>0</v>
      </c>
      <c r="X9" s="134">
        <v>0</v>
      </c>
      <c r="Z9" s="134">
        <v>6</v>
      </c>
      <c r="AA9" s="134">
        <v>6</v>
      </c>
      <c r="AB9" s="134">
        <v>0</v>
      </c>
      <c r="AC9" s="134">
        <v>0</v>
      </c>
    </row>
    <row r="10" spans="1:29">
      <c r="M10" s="107"/>
      <c r="P10" s="85"/>
    </row>
    <row r="11" spans="1:29">
      <c r="P11" s="85"/>
    </row>
  </sheetData>
  <autoFilter ref="A1:Q1" xr:uid="{A0499EC0-9336-4A43-84AD-C0713E773EA7}"/>
  <conditionalFormatting sqref="B1:B1048576">
    <cfRule type="duplicateValues" dxfId="5" priority="6"/>
  </conditionalFormatting>
  <conditionalFormatting sqref="E2:F2">
    <cfRule type="expression" priority="10">
      <formula>MOD(E687:E1048269,2)&gt;0</formula>
    </cfRule>
  </conditionalFormatting>
  <conditionalFormatting sqref="E2:F4">
    <cfRule type="expression" dxfId="4" priority="9">
      <formula xml:space="preserve"> MOD(E:E/2,1)&gt;0</formula>
    </cfRule>
  </conditionalFormatting>
  <conditionalFormatting sqref="E3:F3">
    <cfRule type="expression" priority="11">
      <formula>MOD(E690:E1048272,2)&gt;0</formula>
    </cfRule>
  </conditionalFormatting>
  <conditionalFormatting sqref="E4:F4">
    <cfRule type="expression" priority="7">
      <formula>MOD(E693:E1048275,2)&gt;0</formula>
    </cfRule>
    <cfRule type="expression" priority="8">
      <formula>MOD(E692:E1048274,2)&gt;0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5917-87A3-4689-BF95-2E4C2D6A8F4F}">
  <sheetPr>
    <tabColor theme="9" tint="0.59999389629810485"/>
  </sheetPr>
  <dimension ref="A1:AR10"/>
  <sheetViews>
    <sheetView topLeftCell="B1" zoomScale="90" zoomScaleNormal="90" workbookViewId="0">
      <pane xSplit="3" ySplit="1" topLeftCell="J2" activePane="bottomRight" state="frozen"/>
      <selection pane="topRight" activeCell="G15" sqref="G15"/>
      <selection pane="bottomLeft" activeCell="G15" sqref="G15"/>
      <selection pane="bottomRight" activeCell="N5" sqref="N5"/>
    </sheetView>
  </sheetViews>
  <sheetFormatPr defaultColWidth="9.1796875" defaultRowHeight="12.5"/>
  <cols>
    <col min="1" max="1" width="9.1796875" style="81"/>
    <col min="2" max="2" width="14.7265625" style="81" hidden="1" customWidth="1"/>
    <col min="3" max="3" width="38" style="82" bestFit="1" customWidth="1"/>
    <col min="4" max="4" width="14.54296875" style="82" hidden="1" customWidth="1"/>
    <col min="5" max="5" width="14.36328125" style="83" hidden="1" customWidth="1"/>
    <col min="6" max="6" width="13.81640625" style="83" hidden="1" customWidth="1"/>
    <col min="7" max="7" width="25.81640625" style="84" hidden="1" customWidth="1"/>
    <col min="8" max="8" width="20.54296875" style="85" hidden="1" customWidth="1"/>
    <col min="9" max="9" width="17.36328125" style="85" hidden="1" customWidth="1"/>
    <col min="10" max="10" width="19.81640625" style="85" bestFit="1" customWidth="1"/>
    <col min="11" max="11" width="25.7265625" style="85" bestFit="1" customWidth="1"/>
    <col min="12" max="12" width="11.36328125" style="85" bestFit="1" customWidth="1"/>
    <col min="13" max="13" width="16.81640625" style="85" bestFit="1" customWidth="1"/>
    <col min="14" max="14" width="27.1796875" style="85" bestFit="1" customWidth="1"/>
    <col min="15" max="15" width="19.26953125" style="85" bestFit="1" customWidth="1"/>
    <col min="16" max="16" width="27.1796875" style="86" bestFit="1" customWidth="1"/>
    <col min="17" max="17" width="73.6328125" style="87" customWidth="1"/>
    <col min="18" max="20" width="9.1796875" style="81"/>
    <col min="21" max="45" width="0" style="81" hidden="1" customWidth="1"/>
    <col min="46" max="16384" width="9.1796875" style="81"/>
  </cols>
  <sheetData>
    <row r="1" spans="1:44" ht="14">
      <c r="B1" s="88" t="s">
        <v>0</v>
      </c>
      <c r="C1" s="89" t="s">
        <v>1</v>
      </c>
      <c r="D1" s="88" t="s">
        <v>2</v>
      </c>
      <c r="E1" s="90" t="s">
        <v>3</v>
      </c>
      <c r="F1" s="91" t="s">
        <v>4</v>
      </c>
      <c r="G1" s="90" t="s">
        <v>5</v>
      </c>
      <c r="H1" s="91" t="s">
        <v>6</v>
      </c>
      <c r="I1" s="92" t="s">
        <v>7</v>
      </c>
      <c r="J1" s="92" t="s">
        <v>10</v>
      </c>
      <c r="K1" s="92" t="s">
        <v>11</v>
      </c>
      <c r="L1" s="92" t="s">
        <v>12</v>
      </c>
      <c r="M1" s="92" t="s">
        <v>13</v>
      </c>
      <c r="N1" s="93" t="s">
        <v>58</v>
      </c>
      <c r="O1" s="93" t="s">
        <v>59</v>
      </c>
      <c r="P1" s="94" t="s">
        <v>60</v>
      </c>
      <c r="Q1" s="95" t="s">
        <v>17</v>
      </c>
    </row>
    <row r="2" spans="1:44" ht="43.25" customHeight="1">
      <c r="B2" s="96"/>
      <c r="C2" s="58" t="s">
        <v>65</v>
      </c>
      <c r="D2" s="96"/>
      <c r="E2" s="97"/>
      <c r="F2" s="97"/>
      <c r="G2" s="96"/>
      <c r="H2" s="98"/>
      <c r="I2" s="96"/>
      <c r="J2" s="99">
        <f>SUM(U2,Z2,AE2,AJ2,AO2)</f>
        <v>112</v>
      </c>
      <c r="K2" s="99">
        <f t="shared" ref="K2:M2" si="0">SUM(V2,AA2,AF2,AK2,AP2)</f>
        <v>112</v>
      </c>
      <c r="L2" s="99">
        <f t="shared" si="0"/>
        <v>0</v>
      </c>
      <c r="M2" s="99">
        <f t="shared" si="0"/>
        <v>0</v>
      </c>
      <c r="N2" s="100">
        <f t="shared" ref="N2:P10" si="1">K2/J2</f>
        <v>1</v>
      </c>
      <c r="O2" s="100">
        <f t="shared" si="1"/>
        <v>0</v>
      </c>
      <c r="P2" s="100" t="e">
        <f t="shared" si="1"/>
        <v>#DIV/0!</v>
      </c>
      <c r="Q2" s="133"/>
      <c r="U2" s="134">
        <v>22</v>
      </c>
      <c r="V2" s="134">
        <v>22</v>
      </c>
      <c r="W2" s="134">
        <v>0</v>
      </c>
      <c r="X2" s="134">
        <v>0</v>
      </c>
      <c r="Z2" s="134">
        <v>18</v>
      </c>
      <c r="AA2" s="134">
        <v>18</v>
      </c>
      <c r="AB2" s="134">
        <v>0</v>
      </c>
      <c r="AC2" s="134">
        <v>0</v>
      </c>
      <c r="AE2" s="134">
        <v>18</v>
      </c>
      <c r="AF2" s="134">
        <v>18</v>
      </c>
      <c r="AG2" s="134">
        <v>0</v>
      </c>
      <c r="AH2" s="134">
        <v>0</v>
      </c>
      <c r="AJ2" s="134">
        <v>21</v>
      </c>
      <c r="AK2" s="134">
        <v>21</v>
      </c>
      <c r="AL2" s="134">
        <v>0</v>
      </c>
      <c r="AM2" s="134">
        <v>0</v>
      </c>
      <c r="AO2" s="134">
        <v>33</v>
      </c>
      <c r="AP2" s="134">
        <v>33</v>
      </c>
      <c r="AQ2" s="134">
        <v>0</v>
      </c>
      <c r="AR2" s="134">
        <v>0</v>
      </c>
    </row>
    <row r="3" spans="1:44" ht="43.25" customHeight="1">
      <c r="B3" s="96"/>
      <c r="C3" s="135" t="s">
        <v>123</v>
      </c>
      <c r="D3" s="135" t="s">
        <v>123</v>
      </c>
      <c r="E3" s="97"/>
      <c r="F3" s="97"/>
      <c r="G3" s="96"/>
      <c r="H3" s="98"/>
      <c r="I3" s="96"/>
      <c r="J3" s="99">
        <f t="shared" ref="J3:J10" si="2">SUM(U3,Z3,AE3,AJ3,AO3)</f>
        <v>13</v>
      </c>
      <c r="K3" s="99">
        <f t="shared" ref="K3:K10" si="3">SUM(V3,AA3,AF3,AK3,AP3)</f>
        <v>11</v>
      </c>
      <c r="L3" s="99">
        <f t="shared" ref="L3:L10" si="4">SUM(W3,AB3,AG3,AL3,AQ3)</f>
        <v>0</v>
      </c>
      <c r="M3" s="99">
        <f t="shared" ref="M3:M10" si="5">SUM(X3,AC3,AH3,AM3,AR3)</f>
        <v>0</v>
      </c>
      <c r="N3" s="100">
        <f t="shared" ref="N3" si="6">K3/J3</f>
        <v>0.84615384615384615</v>
      </c>
      <c r="O3" s="100">
        <f t="shared" ref="O3" si="7">L3/K3</f>
        <v>0</v>
      </c>
      <c r="P3" s="100" t="e">
        <f t="shared" ref="P3" si="8">M3/L3</f>
        <v>#DIV/0!</v>
      </c>
      <c r="Q3" s="133"/>
      <c r="U3" s="134"/>
      <c r="V3" s="134"/>
      <c r="W3" s="134"/>
      <c r="X3" s="134"/>
      <c r="Z3" s="134"/>
      <c r="AA3" s="134"/>
      <c r="AB3" s="134"/>
      <c r="AC3" s="134"/>
      <c r="AE3" s="134"/>
      <c r="AF3" s="134"/>
      <c r="AG3" s="134"/>
      <c r="AH3" s="134"/>
      <c r="AJ3" s="134">
        <v>3</v>
      </c>
      <c r="AK3" s="134">
        <v>3</v>
      </c>
      <c r="AL3" s="134">
        <v>0</v>
      </c>
      <c r="AM3" s="134">
        <v>0</v>
      </c>
      <c r="AO3" s="134">
        <v>10</v>
      </c>
      <c r="AP3" s="134">
        <v>8</v>
      </c>
      <c r="AQ3" s="134">
        <v>0</v>
      </c>
      <c r="AR3" s="134">
        <v>0</v>
      </c>
    </row>
    <row r="4" spans="1:44" ht="43.25" customHeight="1">
      <c r="A4" s="101"/>
      <c r="B4" s="96"/>
      <c r="C4" s="58" t="s">
        <v>95</v>
      </c>
      <c r="D4" s="96"/>
      <c r="E4" s="97"/>
      <c r="F4" s="97"/>
      <c r="G4" s="96"/>
      <c r="H4" s="98"/>
      <c r="I4" s="96"/>
      <c r="J4" s="99">
        <v>35</v>
      </c>
      <c r="K4" s="99">
        <v>35</v>
      </c>
      <c r="L4" s="99">
        <v>0</v>
      </c>
      <c r="M4" s="99">
        <v>0</v>
      </c>
      <c r="N4" s="100">
        <f t="shared" si="1"/>
        <v>1</v>
      </c>
      <c r="O4" s="102">
        <f t="shared" si="1"/>
        <v>0</v>
      </c>
      <c r="P4" s="100" t="e">
        <f t="shared" si="1"/>
        <v>#DIV/0!</v>
      </c>
      <c r="Q4" s="133"/>
      <c r="U4" s="134">
        <v>66</v>
      </c>
      <c r="V4" s="134">
        <v>62</v>
      </c>
      <c r="W4" s="134">
        <v>0</v>
      </c>
      <c r="X4" s="134">
        <v>0</v>
      </c>
      <c r="Z4" s="134">
        <v>16</v>
      </c>
      <c r="AA4" s="134">
        <v>8</v>
      </c>
      <c r="AB4" s="134">
        <v>0</v>
      </c>
      <c r="AC4" s="134">
        <v>0</v>
      </c>
      <c r="AE4" s="134">
        <v>14</v>
      </c>
      <c r="AF4" s="134">
        <v>13</v>
      </c>
      <c r="AG4" s="134">
        <v>0</v>
      </c>
      <c r="AH4" s="134">
        <v>0</v>
      </c>
      <c r="AJ4" s="134">
        <v>26</v>
      </c>
      <c r="AK4" s="134">
        <v>26</v>
      </c>
      <c r="AL4" s="134">
        <v>0</v>
      </c>
      <c r="AM4" s="134">
        <v>0</v>
      </c>
      <c r="AO4" s="134">
        <v>15</v>
      </c>
      <c r="AP4" s="134">
        <v>11</v>
      </c>
      <c r="AQ4" s="134">
        <v>0</v>
      </c>
      <c r="AR4" s="134">
        <v>0</v>
      </c>
    </row>
    <row r="5" spans="1:44" ht="43.25" customHeight="1">
      <c r="B5" s="96"/>
      <c r="C5" s="58" t="s">
        <v>96</v>
      </c>
      <c r="D5" s="96"/>
      <c r="E5" s="97"/>
      <c r="F5" s="97"/>
      <c r="G5" s="96"/>
      <c r="H5" s="98"/>
      <c r="I5" s="96"/>
      <c r="J5" s="99">
        <v>51</v>
      </c>
      <c r="K5" s="99">
        <v>51</v>
      </c>
      <c r="L5" s="99">
        <v>0</v>
      </c>
      <c r="M5" s="99">
        <v>0</v>
      </c>
      <c r="N5" s="100">
        <f t="shared" si="1"/>
        <v>1</v>
      </c>
      <c r="O5" s="102">
        <f t="shared" si="1"/>
        <v>0</v>
      </c>
      <c r="P5" s="100" t="e">
        <f t="shared" si="1"/>
        <v>#DIV/0!</v>
      </c>
      <c r="Q5" s="133"/>
      <c r="U5" s="134">
        <v>7</v>
      </c>
      <c r="V5" s="134">
        <v>7</v>
      </c>
      <c r="W5" s="134">
        <v>0</v>
      </c>
      <c r="X5" s="134">
        <v>0</v>
      </c>
      <c r="Z5" s="134">
        <v>16</v>
      </c>
      <c r="AA5" s="134">
        <v>16</v>
      </c>
      <c r="AB5" s="134">
        <v>0</v>
      </c>
      <c r="AC5" s="134">
        <v>0</v>
      </c>
      <c r="AE5" s="134">
        <v>18</v>
      </c>
      <c r="AF5" s="134">
        <v>18</v>
      </c>
      <c r="AG5" s="134">
        <v>0</v>
      </c>
      <c r="AH5" s="134">
        <v>0</v>
      </c>
      <c r="AJ5" s="134">
        <v>15</v>
      </c>
      <c r="AK5" s="134">
        <v>15</v>
      </c>
      <c r="AL5" s="134">
        <v>0</v>
      </c>
      <c r="AM5" s="134">
        <v>0</v>
      </c>
      <c r="AO5" s="134">
        <v>15</v>
      </c>
      <c r="AP5" s="134">
        <v>14</v>
      </c>
      <c r="AQ5" s="134">
        <v>0</v>
      </c>
      <c r="AR5" s="134">
        <v>0</v>
      </c>
    </row>
    <row r="6" spans="1:44" ht="43.25" customHeight="1">
      <c r="B6" s="103"/>
      <c r="C6" s="58" t="s">
        <v>92</v>
      </c>
      <c r="D6" s="103"/>
      <c r="E6" s="103"/>
      <c r="F6" s="103"/>
      <c r="G6" s="104"/>
      <c r="H6" s="105"/>
      <c r="I6" s="105"/>
      <c r="J6" s="99">
        <v>10</v>
      </c>
      <c r="K6" s="99">
        <v>10</v>
      </c>
      <c r="L6" s="99">
        <v>0</v>
      </c>
      <c r="M6" s="99">
        <v>0</v>
      </c>
      <c r="N6" s="100">
        <f t="shared" si="1"/>
        <v>1</v>
      </c>
      <c r="O6" s="102">
        <f t="shared" si="1"/>
        <v>0</v>
      </c>
      <c r="P6" s="100" t="e">
        <f t="shared" si="1"/>
        <v>#DIV/0!</v>
      </c>
      <c r="Q6" s="133"/>
      <c r="U6" s="134">
        <v>1</v>
      </c>
      <c r="V6" s="134">
        <v>1</v>
      </c>
      <c r="W6" s="134">
        <v>0</v>
      </c>
      <c r="X6" s="134">
        <v>0</v>
      </c>
      <c r="Z6" s="134">
        <v>6</v>
      </c>
      <c r="AA6" s="134">
        <v>6</v>
      </c>
      <c r="AB6" s="134">
        <v>0</v>
      </c>
      <c r="AC6" s="134">
        <v>0</v>
      </c>
      <c r="AE6" s="134">
        <v>4</v>
      </c>
      <c r="AF6" s="134">
        <v>2</v>
      </c>
      <c r="AG6" s="134">
        <v>0</v>
      </c>
      <c r="AH6" s="134">
        <v>0</v>
      </c>
      <c r="AJ6" s="134">
        <v>4</v>
      </c>
      <c r="AK6" s="134">
        <v>3</v>
      </c>
      <c r="AL6" s="134">
        <v>0</v>
      </c>
      <c r="AM6" s="134">
        <v>0</v>
      </c>
      <c r="AO6" s="134">
        <v>5</v>
      </c>
      <c r="AP6" s="134">
        <v>5</v>
      </c>
      <c r="AQ6" s="134">
        <v>0</v>
      </c>
      <c r="AR6" s="134">
        <v>0</v>
      </c>
    </row>
    <row r="7" spans="1:44" ht="43.25" customHeight="1">
      <c r="B7" s="103"/>
      <c r="C7" s="58" t="s">
        <v>93</v>
      </c>
      <c r="D7" s="103"/>
      <c r="E7" s="103"/>
      <c r="F7" s="103"/>
      <c r="G7" s="104"/>
      <c r="H7" s="105"/>
      <c r="I7" s="105"/>
      <c r="J7" s="99">
        <v>34</v>
      </c>
      <c r="K7" s="99">
        <v>34</v>
      </c>
      <c r="L7" s="99">
        <v>0</v>
      </c>
      <c r="M7" s="99">
        <v>0</v>
      </c>
      <c r="N7" s="100">
        <f t="shared" si="1"/>
        <v>1</v>
      </c>
      <c r="O7" s="102">
        <f t="shared" si="1"/>
        <v>0</v>
      </c>
      <c r="P7" s="100" t="e">
        <f t="shared" si="1"/>
        <v>#DIV/0!</v>
      </c>
      <c r="Q7" s="133"/>
      <c r="U7" s="134">
        <v>0</v>
      </c>
      <c r="V7" s="134">
        <v>0</v>
      </c>
      <c r="W7" s="134">
        <v>0</v>
      </c>
      <c r="X7" s="134">
        <v>0</v>
      </c>
      <c r="Z7" s="134">
        <v>5</v>
      </c>
      <c r="AA7" s="134">
        <v>5</v>
      </c>
      <c r="AB7" s="134">
        <v>0</v>
      </c>
      <c r="AC7" s="134">
        <v>0</v>
      </c>
      <c r="AE7" s="134">
        <v>3</v>
      </c>
      <c r="AF7" s="134">
        <v>3</v>
      </c>
      <c r="AG7" s="134">
        <v>0</v>
      </c>
      <c r="AH7" s="134">
        <v>0</v>
      </c>
      <c r="AJ7" s="134">
        <v>3</v>
      </c>
      <c r="AK7" s="134">
        <v>3</v>
      </c>
      <c r="AL7" s="134">
        <v>0</v>
      </c>
      <c r="AM7" s="134">
        <v>0</v>
      </c>
      <c r="AO7" s="134">
        <v>20</v>
      </c>
      <c r="AP7" s="134">
        <v>18</v>
      </c>
      <c r="AQ7" s="134">
        <v>0</v>
      </c>
      <c r="AR7" s="134">
        <v>0</v>
      </c>
    </row>
    <row r="8" spans="1:44" ht="43.25" customHeight="1">
      <c r="B8" s="103"/>
      <c r="C8" s="58" t="s">
        <v>97</v>
      </c>
      <c r="D8" s="103"/>
      <c r="E8" s="103"/>
      <c r="F8" s="103"/>
      <c r="G8" s="104"/>
      <c r="H8" s="105"/>
      <c r="I8" s="105"/>
      <c r="J8" s="99">
        <v>69</v>
      </c>
      <c r="K8" s="99">
        <v>69</v>
      </c>
      <c r="L8" s="99">
        <v>5</v>
      </c>
      <c r="M8" s="99">
        <v>5</v>
      </c>
      <c r="N8" s="100">
        <f t="shared" si="1"/>
        <v>1</v>
      </c>
      <c r="O8" s="102">
        <f t="shared" si="1"/>
        <v>7.2463768115942032E-2</v>
      </c>
      <c r="P8" s="100">
        <f t="shared" si="1"/>
        <v>1</v>
      </c>
      <c r="Q8" s="133"/>
      <c r="U8" s="122">
        <v>33</v>
      </c>
      <c r="V8" s="134">
        <v>33</v>
      </c>
      <c r="W8" s="134">
        <v>1</v>
      </c>
      <c r="X8" s="134">
        <v>1</v>
      </c>
      <c r="Z8" s="122">
        <v>29</v>
      </c>
      <c r="AA8" s="134">
        <v>20</v>
      </c>
      <c r="AB8" s="134">
        <v>1</v>
      </c>
      <c r="AC8" s="134">
        <v>1</v>
      </c>
      <c r="AE8" s="134">
        <v>23</v>
      </c>
      <c r="AF8" s="134">
        <v>20</v>
      </c>
      <c r="AG8" s="134">
        <v>0</v>
      </c>
      <c r="AH8" s="134">
        <v>0</v>
      </c>
      <c r="AJ8" s="134">
        <v>59</v>
      </c>
      <c r="AK8" s="134">
        <v>55</v>
      </c>
      <c r="AL8" s="134">
        <v>0</v>
      </c>
      <c r="AM8" s="134">
        <v>0</v>
      </c>
      <c r="AO8" s="134">
        <v>64</v>
      </c>
      <c r="AP8" s="134">
        <v>38</v>
      </c>
      <c r="AQ8" s="134">
        <v>1</v>
      </c>
      <c r="AR8" s="134">
        <v>1</v>
      </c>
    </row>
    <row r="9" spans="1:44" ht="43.25" customHeight="1">
      <c r="B9" s="103"/>
      <c r="C9" s="58" t="s">
        <v>64</v>
      </c>
      <c r="D9" s="103"/>
      <c r="E9" s="103"/>
      <c r="F9" s="103"/>
      <c r="G9" s="104"/>
      <c r="H9" s="105"/>
      <c r="I9" s="105"/>
      <c r="J9" s="99">
        <f t="shared" si="2"/>
        <v>177</v>
      </c>
      <c r="K9" s="99">
        <f t="shared" si="3"/>
        <v>177</v>
      </c>
      <c r="L9" s="99">
        <f t="shared" si="4"/>
        <v>8</v>
      </c>
      <c r="M9" s="99">
        <f t="shared" si="5"/>
        <v>8</v>
      </c>
      <c r="N9" s="100">
        <f t="shared" si="1"/>
        <v>1</v>
      </c>
      <c r="O9" s="102">
        <f t="shared" si="1"/>
        <v>4.519774011299435E-2</v>
      </c>
      <c r="P9" s="100">
        <f t="shared" si="1"/>
        <v>1</v>
      </c>
      <c r="Q9" s="133"/>
      <c r="U9" s="134">
        <v>41</v>
      </c>
      <c r="V9" s="134">
        <v>41</v>
      </c>
      <c r="W9" s="134">
        <v>2</v>
      </c>
      <c r="X9" s="134">
        <v>2</v>
      </c>
      <c r="Z9" s="134">
        <v>56</v>
      </c>
      <c r="AA9" s="134">
        <v>56</v>
      </c>
      <c r="AB9" s="134">
        <v>2</v>
      </c>
      <c r="AC9" s="134">
        <v>2</v>
      </c>
      <c r="AE9" s="122">
        <v>32</v>
      </c>
      <c r="AF9" s="134">
        <v>32</v>
      </c>
      <c r="AG9" s="134">
        <v>1</v>
      </c>
      <c r="AH9" s="134">
        <v>1</v>
      </c>
      <c r="AJ9" s="122">
        <v>29</v>
      </c>
      <c r="AK9" s="134">
        <v>29</v>
      </c>
      <c r="AL9" s="134">
        <v>2</v>
      </c>
      <c r="AM9" s="134">
        <v>2</v>
      </c>
      <c r="AO9" s="122">
        <v>19</v>
      </c>
      <c r="AP9" s="134">
        <v>19</v>
      </c>
      <c r="AQ9" s="134">
        <v>1</v>
      </c>
      <c r="AR9" s="134">
        <v>1</v>
      </c>
    </row>
    <row r="10" spans="1:44" ht="43.25" customHeight="1">
      <c r="B10" s="103"/>
      <c r="C10" s="58" t="s">
        <v>66</v>
      </c>
      <c r="D10" s="103"/>
      <c r="E10" s="103"/>
      <c r="F10" s="103"/>
      <c r="G10" s="104"/>
      <c r="H10" s="105"/>
      <c r="I10" s="105"/>
      <c r="J10" s="99">
        <f t="shared" si="2"/>
        <v>83</v>
      </c>
      <c r="K10" s="99">
        <f t="shared" si="3"/>
        <v>78</v>
      </c>
      <c r="L10" s="99">
        <f t="shared" si="4"/>
        <v>8</v>
      </c>
      <c r="M10" s="99">
        <f t="shared" si="5"/>
        <v>7</v>
      </c>
      <c r="N10" s="100">
        <f t="shared" si="1"/>
        <v>0.93975903614457834</v>
      </c>
      <c r="O10" s="102">
        <f t="shared" si="1"/>
        <v>0.10256410256410256</v>
      </c>
      <c r="P10" s="106">
        <f t="shared" si="1"/>
        <v>0.875</v>
      </c>
      <c r="Q10" s="133"/>
      <c r="U10" s="134">
        <v>18</v>
      </c>
      <c r="V10" s="134">
        <v>17</v>
      </c>
      <c r="W10" s="134">
        <v>1</v>
      </c>
      <c r="X10" s="134">
        <v>1</v>
      </c>
      <c r="Z10" s="134">
        <v>27</v>
      </c>
      <c r="AA10" s="134">
        <v>26</v>
      </c>
      <c r="AB10" s="134">
        <v>1</v>
      </c>
      <c r="AC10" s="134">
        <v>0</v>
      </c>
      <c r="AE10" s="134">
        <v>10</v>
      </c>
      <c r="AF10" s="134">
        <v>10</v>
      </c>
      <c r="AG10" s="134">
        <v>3</v>
      </c>
      <c r="AH10" s="134">
        <v>3</v>
      </c>
      <c r="AJ10" s="134">
        <v>7</v>
      </c>
      <c r="AK10" s="134">
        <v>6</v>
      </c>
      <c r="AL10" s="134">
        <v>1</v>
      </c>
      <c r="AM10" s="134">
        <v>1</v>
      </c>
      <c r="AO10" s="134">
        <v>21</v>
      </c>
      <c r="AP10" s="134">
        <v>19</v>
      </c>
      <c r="AQ10" s="134">
        <v>2</v>
      </c>
      <c r="AR10" s="134">
        <v>2</v>
      </c>
    </row>
  </sheetData>
  <autoFilter ref="A1:Q1" xr:uid="{A0499EC0-9336-4A43-84AD-C0713E773EA7}"/>
  <conditionalFormatting sqref="B1:B1048576">
    <cfRule type="duplicateValues" dxfId="3" priority="1"/>
  </conditionalFormatting>
  <conditionalFormatting sqref="E2:F3">
    <cfRule type="expression" priority="5">
      <formula>MOD(E686:E1048268,2)&gt;0</formula>
    </cfRule>
  </conditionalFormatting>
  <conditionalFormatting sqref="E2:F5">
    <cfRule type="expression" dxfId="2" priority="4">
      <formula xml:space="preserve"> MOD(E:E/2,1)&gt;0</formula>
    </cfRule>
  </conditionalFormatting>
  <conditionalFormatting sqref="E4:F4">
    <cfRule type="expression" priority="6">
      <formula>MOD(E689:E1048271,2)&gt;0</formula>
    </cfRule>
  </conditionalFormatting>
  <conditionalFormatting sqref="E5:F5">
    <cfRule type="expression" priority="2">
      <formula>MOD(E692:E1048274,2)&gt;0</formula>
    </cfRule>
    <cfRule type="expression" priority="3">
      <formula>MOD(E691:E1048273,2)&gt;0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648F-2A07-4F40-97F5-13F0EE4426EF}">
  <sheetPr>
    <tabColor theme="9" tint="0.59999389629810485"/>
  </sheetPr>
  <dimension ref="A1:AC12"/>
  <sheetViews>
    <sheetView topLeftCell="B1" zoomScale="69" zoomScaleNormal="69" workbookViewId="0">
      <pane xSplit="3" ySplit="1" topLeftCell="J2" activePane="bottomRight" state="frozen"/>
      <selection pane="topRight" activeCell="G15" sqref="G15"/>
      <selection pane="bottomLeft" activeCell="G15" sqref="G15"/>
      <selection pane="bottomRight" activeCell="N7" sqref="N7"/>
    </sheetView>
  </sheetViews>
  <sheetFormatPr defaultColWidth="9.1796875" defaultRowHeight="12.5"/>
  <cols>
    <col min="1" max="1" width="9.1796875" style="81"/>
    <col min="2" max="2" width="14.7265625" style="81" hidden="1" customWidth="1"/>
    <col min="3" max="3" width="38" style="82" bestFit="1" customWidth="1"/>
    <col min="4" max="4" width="14.54296875" style="82" hidden="1" customWidth="1"/>
    <col min="5" max="5" width="14.36328125" style="83" hidden="1" customWidth="1"/>
    <col min="6" max="6" width="13.81640625" style="83" hidden="1" customWidth="1"/>
    <col min="7" max="7" width="25.81640625" style="84" hidden="1" customWidth="1"/>
    <col min="8" max="8" width="20.54296875" style="85" hidden="1" customWidth="1"/>
    <col min="9" max="9" width="17.36328125" style="85" hidden="1" customWidth="1"/>
    <col min="10" max="10" width="19.81640625" style="85" bestFit="1" customWidth="1"/>
    <col min="11" max="11" width="25.7265625" style="85" bestFit="1" customWidth="1"/>
    <col min="12" max="12" width="11.36328125" style="85" bestFit="1" customWidth="1"/>
    <col min="13" max="13" width="16.81640625" style="85" bestFit="1" customWidth="1"/>
    <col min="14" max="14" width="27.1796875" style="85" bestFit="1" customWidth="1"/>
    <col min="15" max="15" width="19.26953125" style="85" bestFit="1" customWidth="1"/>
    <col min="16" max="16" width="27.1796875" style="86" bestFit="1" customWidth="1"/>
    <col min="17" max="17" width="73.6328125" style="87" customWidth="1"/>
    <col min="18" max="18" width="9.1796875" style="81"/>
    <col min="19" max="33" width="0" style="81" hidden="1" customWidth="1"/>
    <col min="34" max="16384" width="9.1796875" style="81"/>
  </cols>
  <sheetData>
    <row r="1" spans="1:29" ht="14">
      <c r="B1" s="88" t="s">
        <v>0</v>
      </c>
      <c r="C1" s="89" t="s">
        <v>1</v>
      </c>
      <c r="D1" s="88" t="s">
        <v>2</v>
      </c>
      <c r="E1" s="90" t="s">
        <v>3</v>
      </c>
      <c r="F1" s="91" t="s">
        <v>4</v>
      </c>
      <c r="G1" s="90" t="s">
        <v>5</v>
      </c>
      <c r="H1" s="91" t="s">
        <v>6</v>
      </c>
      <c r="I1" s="92" t="s">
        <v>7</v>
      </c>
      <c r="J1" s="92" t="s">
        <v>10</v>
      </c>
      <c r="K1" s="92" t="s">
        <v>11</v>
      </c>
      <c r="L1" s="92" t="s">
        <v>12</v>
      </c>
      <c r="M1" s="92" t="s">
        <v>13</v>
      </c>
      <c r="N1" s="93" t="s">
        <v>58</v>
      </c>
      <c r="O1" s="93" t="s">
        <v>59</v>
      </c>
      <c r="P1" s="94" t="s">
        <v>60</v>
      </c>
      <c r="Q1" s="95" t="s">
        <v>17</v>
      </c>
    </row>
    <row r="2" spans="1:29" ht="43.25" customHeight="1">
      <c r="B2" s="96"/>
      <c r="C2" s="58" t="s">
        <v>65</v>
      </c>
      <c r="D2" s="96"/>
      <c r="E2" s="97"/>
      <c r="F2" s="97"/>
      <c r="G2" s="96"/>
      <c r="H2" s="98"/>
      <c r="I2" s="96"/>
      <c r="J2" s="99">
        <f>SUM(U2,Z2)</f>
        <v>61</v>
      </c>
      <c r="K2" s="99">
        <f t="shared" ref="K2:M2" si="0">SUM(V2,AA2)</f>
        <v>58</v>
      </c>
      <c r="L2" s="99">
        <f t="shared" si="0"/>
        <v>0</v>
      </c>
      <c r="M2" s="99">
        <f t="shared" si="0"/>
        <v>0</v>
      </c>
      <c r="N2" s="100">
        <f t="shared" ref="N2:P2" si="1">K2/J2</f>
        <v>0.95081967213114749</v>
      </c>
      <c r="O2" s="100">
        <f t="shared" si="1"/>
        <v>0</v>
      </c>
      <c r="P2" s="100" t="e">
        <f t="shared" si="1"/>
        <v>#DIV/0!</v>
      </c>
      <c r="Q2" s="133"/>
      <c r="U2" s="134">
        <v>33</v>
      </c>
      <c r="V2" s="134">
        <v>30</v>
      </c>
      <c r="W2" s="134">
        <v>0</v>
      </c>
      <c r="X2" s="134">
        <v>0</v>
      </c>
      <c r="Z2" s="134">
        <v>28</v>
      </c>
      <c r="AA2" s="134">
        <v>28</v>
      </c>
      <c r="AB2" s="134">
        <v>0</v>
      </c>
      <c r="AC2" s="134">
        <v>0</v>
      </c>
    </row>
    <row r="3" spans="1:29" ht="43.25" customHeight="1">
      <c r="B3" s="96"/>
      <c r="C3" s="135" t="s">
        <v>123</v>
      </c>
      <c r="D3" s="96"/>
      <c r="E3" s="97"/>
      <c r="F3" s="97"/>
      <c r="G3" s="96"/>
      <c r="H3" s="98"/>
      <c r="I3" s="96"/>
      <c r="J3" s="99">
        <f t="shared" ref="J3:J10" si="2">SUM(U3,Z3)</f>
        <v>14</v>
      </c>
      <c r="K3" s="99">
        <f t="shared" ref="K3:K10" si="3">SUM(V3,AA3)</f>
        <v>14</v>
      </c>
      <c r="L3" s="99">
        <f t="shared" ref="L3:L10" si="4">SUM(W3,AB3)</f>
        <v>0</v>
      </c>
      <c r="M3" s="99">
        <f t="shared" ref="M3:M10" si="5">SUM(X3,AC3)</f>
        <v>0</v>
      </c>
      <c r="N3" s="100">
        <f t="shared" ref="N3:N10" si="6">K3/J3</f>
        <v>1</v>
      </c>
      <c r="O3" s="100">
        <f t="shared" ref="O3:O10" si="7">L3/K3</f>
        <v>0</v>
      </c>
      <c r="P3" s="100" t="e">
        <f t="shared" ref="P3:P10" si="8">M3/L3</f>
        <v>#DIV/0!</v>
      </c>
      <c r="Q3" s="133"/>
      <c r="U3" s="134">
        <v>8</v>
      </c>
      <c r="V3" s="134">
        <v>8</v>
      </c>
      <c r="W3" s="134">
        <v>0</v>
      </c>
      <c r="X3" s="134">
        <v>0</v>
      </c>
      <c r="Z3" s="134">
        <v>6</v>
      </c>
      <c r="AA3" s="134">
        <v>6</v>
      </c>
      <c r="AB3" s="134">
        <v>0</v>
      </c>
      <c r="AC3" s="134">
        <v>0</v>
      </c>
    </row>
    <row r="4" spans="1:29" ht="43.25" customHeight="1">
      <c r="A4" s="101"/>
      <c r="B4" s="96"/>
      <c r="C4" s="58" t="s">
        <v>95</v>
      </c>
      <c r="D4" s="96"/>
      <c r="E4" s="97"/>
      <c r="F4" s="97"/>
      <c r="G4" s="96"/>
      <c r="H4" s="98"/>
      <c r="I4" s="96"/>
      <c r="J4" s="99">
        <v>132</v>
      </c>
      <c r="K4" s="99">
        <v>132</v>
      </c>
      <c r="L4" s="99">
        <v>0</v>
      </c>
      <c r="M4" s="99">
        <v>0</v>
      </c>
      <c r="N4" s="100">
        <f t="shared" si="6"/>
        <v>1</v>
      </c>
      <c r="O4" s="100">
        <f t="shared" si="7"/>
        <v>0</v>
      </c>
      <c r="P4" s="100" t="e">
        <f t="shared" si="8"/>
        <v>#DIV/0!</v>
      </c>
      <c r="Q4" s="133"/>
      <c r="U4" s="134">
        <v>43</v>
      </c>
      <c r="V4" s="134">
        <v>40</v>
      </c>
      <c r="W4" s="134">
        <v>0</v>
      </c>
      <c r="X4" s="134">
        <v>0</v>
      </c>
      <c r="Z4" s="134">
        <v>6</v>
      </c>
      <c r="AA4" s="134">
        <v>4</v>
      </c>
      <c r="AB4" s="134">
        <v>0</v>
      </c>
      <c r="AC4" s="134">
        <v>0</v>
      </c>
    </row>
    <row r="5" spans="1:29" ht="43.25" customHeight="1">
      <c r="B5" s="96"/>
      <c r="C5" s="58" t="s">
        <v>96</v>
      </c>
      <c r="D5" s="96"/>
      <c r="E5" s="97"/>
      <c r="F5" s="97"/>
      <c r="G5" s="96"/>
      <c r="H5" s="98"/>
      <c r="I5" s="96"/>
      <c r="J5" s="99">
        <v>50</v>
      </c>
      <c r="K5" s="99">
        <v>44</v>
      </c>
      <c r="L5" s="99">
        <v>0</v>
      </c>
      <c r="M5" s="99">
        <v>0</v>
      </c>
      <c r="N5" s="100">
        <f t="shared" si="6"/>
        <v>0.88</v>
      </c>
      <c r="O5" s="100">
        <f t="shared" si="7"/>
        <v>0</v>
      </c>
      <c r="P5" s="100" t="e">
        <f t="shared" si="8"/>
        <v>#DIV/0!</v>
      </c>
      <c r="Q5" s="133" t="s">
        <v>127</v>
      </c>
      <c r="U5" s="134">
        <v>15</v>
      </c>
      <c r="V5" s="134">
        <v>14</v>
      </c>
      <c r="W5" s="134">
        <v>0</v>
      </c>
      <c r="X5" s="134">
        <v>0</v>
      </c>
      <c r="Z5" s="134">
        <v>8</v>
      </c>
      <c r="AA5" s="134">
        <v>5</v>
      </c>
      <c r="AB5" s="134">
        <v>0</v>
      </c>
      <c r="AC5" s="134">
        <v>0</v>
      </c>
    </row>
    <row r="6" spans="1:29" ht="43.25" customHeight="1">
      <c r="B6" s="103"/>
      <c r="C6" s="58" t="s">
        <v>92</v>
      </c>
      <c r="D6" s="103"/>
      <c r="E6" s="103"/>
      <c r="F6" s="103"/>
      <c r="G6" s="104"/>
      <c r="H6" s="105"/>
      <c r="I6" s="105"/>
      <c r="J6" s="99">
        <v>12</v>
      </c>
      <c r="K6" s="99">
        <v>11</v>
      </c>
      <c r="L6" s="99">
        <v>0</v>
      </c>
      <c r="M6" s="99">
        <v>0</v>
      </c>
      <c r="N6" s="100">
        <f t="shared" si="6"/>
        <v>0.91666666666666663</v>
      </c>
      <c r="O6" s="100">
        <f t="shared" si="7"/>
        <v>0</v>
      </c>
      <c r="P6" s="100" t="e">
        <f t="shared" si="8"/>
        <v>#DIV/0!</v>
      </c>
      <c r="Q6" s="133" t="s">
        <v>126</v>
      </c>
      <c r="U6" s="134">
        <v>6</v>
      </c>
      <c r="V6" s="134">
        <v>5</v>
      </c>
      <c r="W6" s="134">
        <v>0</v>
      </c>
      <c r="X6" s="134">
        <v>0</v>
      </c>
      <c r="Z6" s="134">
        <v>2</v>
      </c>
      <c r="AA6" s="134">
        <v>2</v>
      </c>
      <c r="AB6" s="134">
        <v>0</v>
      </c>
      <c r="AC6" s="134">
        <v>0</v>
      </c>
    </row>
    <row r="7" spans="1:29" ht="43.25" customHeight="1">
      <c r="B7" s="103"/>
      <c r="C7" s="58" t="s">
        <v>93</v>
      </c>
      <c r="D7" s="103"/>
      <c r="E7" s="103"/>
      <c r="F7" s="103"/>
      <c r="G7" s="104"/>
      <c r="H7" s="105"/>
      <c r="I7" s="105"/>
      <c r="J7" s="99">
        <v>17</v>
      </c>
      <c r="K7" s="99">
        <v>17</v>
      </c>
      <c r="L7" s="99">
        <v>0</v>
      </c>
      <c r="M7" s="99">
        <v>0</v>
      </c>
      <c r="N7" s="100">
        <f t="shared" si="6"/>
        <v>1</v>
      </c>
      <c r="O7" s="100">
        <f t="shared" si="7"/>
        <v>0</v>
      </c>
      <c r="P7" s="100" t="e">
        <f t="shared" si="8"/>
        <v>#DIV/0!</v>
      </c>
      <c r="Q7" s="133"/>
      <c r="U7" s="134">
        <v>6</v>
      </c>
      <c r="V7" s="134">
        <v>6</v>
      </c>
      <c r="W7" s="134">
        <v>0</v>
      </c>
      <c r="X7" s="134">
        <v>0</v>
      </c>
      <c r="Z7" s="134">
        <v>12</v>
      </c>
      <c r="AA7" s="134">
        <v>12</v>
      </c>
      <c r="AB7" s="134">
        <v>0</v>
      </c>
      <c r="AC7" s="134">
        <v>0</v>
      </c>
    </row>
    <row r="8" spans="1:29" ht="43.25" customHeight="1">
      <c r="B8" s="103"/>
      <c r="C8" s="58" t="s">
        <v>97</v>
      </c>
      <c r="D8" s="103"/>
      <c r="E8" s="103"/>
      <c r="F8" s="103"/>
      <c r="G8" s="104"/>
      <c r="H8" s="105"/>
      <c r="I8" s="105"/>
      <c r="J8" s="99">
        <v>139</v>
      </c>
      <c r="K8" s="99">
        <v>133</v>
      </c>
      <c r="L8" s="99">
        <v>4</v>
      </c>
      <c r="M8" s="99">
        <v>4</v>
      </c>
      <c r="N8" s="100">
        <f t="shared" si="6"/>
        <v>0.95683453237410077</v>
      </c>
      <c r="O8" s="100">
        <f t="shared" si="7"/>
        <v>3.007518796992481E-2</v>
      </c>
      <c r="P8" s="100">
        <f t="shared" si="8"/>
        <v>1</v>
      </c>
      <c r="Q8" s="133"/>
      <c r="U8" s="134">
        <v>26</v>
      </c>
      <c r="V8" s="134">
        <v>24</v>
      </c>
      <c r="W8" s="134">
        <v>0</v>
      </c>
      <c r="X8" s="134">
        <v>0</v>
      </c>
      <c r="Z8" s="134">
        <v>22</v>
      </c>
      <c r="AA8" s="134">
        <v>18</v>
      </c>
      <c r="AB8" s="134">
        <v>0</v>
      </c>
      <c r="AC8" s="134">
        <v>0</v>
      </c>
    </row>
    <row r="9" spans="1:29" ht="43.25" customHeight="1">
      <c r="B9" s="103"/>
      <c r="C9" s="58" t="s">
        <v>64</v>
      </c>
      <c r="D9" s="103"/>
      <c r="E9" s="103"/>
      <c r="F9" s="103"/>
      <c r="G9" s="104"/>
      <c r="H9" s="105"/>
      <c r="I9" s="105"/>
      <c r="J9" s="99">
        <f t="shared" si="2"/>
        <v>64</v>
      </c>
      <c r="K9" s="99">
        <f t="shared" si="3"/>
        <v>64</v>
      </c>
      <c r="L9" s="99">
        <f t="shared" si="4"/>
        <v>2</v>
      </c>
      <c r="M9" s="99">
        <f t="shared" si="5"/>
        <v>2</v>
      </c>
      <c r="N9" s="100">
        <f t="shared" si="6"/>
        <v>1</v>
      </c>
      <c r="O9" s="100">
        <f t="shared" si="7"/>
        <v>3.125E-2</v>
      </c>
      <c r="P9" s="100">
        <f t="shared" si="8"/>
        <v>1</v>
      </c>
      <c r="Q9" s="133" t="s">
        <v>125</v>
      </c>
      <c r="U9" s="122">
        <v>25</v>
      </c>
      <c r="V9" s="134">
        <v>25</v>
      </c>
      <c r="W9" s="134">
        <v>1</v>
      </c>
      <c r="X9" s="134">
        <v>1</v>
      </c>
      <c r="Z9" s="122">
        <v>39</v>
      </c>
      <c r="AA9" s="134">
        <v>39</v>
      </c>
      <c r="AB9" s="134">
        <v>1</v>
      </c>
      <c r="AC9" s="134">
        <v>1</v>
      </c>
    </row>
    <row r="10" spans="1:29" ht="43.25" customHeight="1">
      <c r="B10" s="103"/>
      <c r="C10" s="58" t="s">
        <v>66</v>
      </c>
      <c r="D10" s="103"/>
      <c r="E10" s="103"/>
      <c r="F10" s="103"/>
      <c r="G10" s="104"/>
      <c r="H10" s="105"/>
      <c r="I10" s="105"/>
      <c r="J10" s="99">
        <f t="shared" si="2"/>
        <v>47</v>
      </c>
      <c r="K10" s="99">
        <f t="shared" si="3"/>
        <v>39</v>
      </c>
      <c r="L10" s="99">
        <f t="shared" si="4"/>
        <v>8</v>
      </c>
      <c r="M10" s="99">
        <f t="shared" si="5"/>
        <v>8</v>
      </c>
      <c r="N10" s="100">
        <f t="shared" si="6"/>
        <v>0.82978723404255317</v>
      </c>
      <c r="O10" s="100">
        <f t="shared" si="7"/>
        <v>0.20512820512820512</v>
      </c>
      <c r="P10" s="100">
        <f t="shared" si="8"/>
        <v>1</v>
      </c>
      <c r="Q10" s="133"/>
      <c r="U10" s="134">
        <v>20</v>
      </c>
      <c r="V10" s="134">
        <v>18</v>
      </c>
      <c r="W10" s="134">
        <v>3</v>
      </c>
      <c r="X10" s="134">
        <v>3</v>
      </c>
      <c r="Z10" s="134">
        <v>27</v>
      </c>
      <c r="AA10" s="134">
        <v>21</v>
      </c>
      <c r="AB10" s="134">
        <v>5</v>
      </c>
      <c r="AC10" s="134">
        <v>5</v>
      </c>
    </row>
    <row r="11" spans="1:29">
      <c r="M11" s="107"/>
      <c r="P11" s="85"/>
    </row>
    <row r="12" spans="1:29">
      <c r="P12" s="85"/>
    </row>
  </sheetData>
  <autoFilter ref="A1:Q1" xr:uid="{A0499EC0-9336-4A43-84AD-C0713E773EA7}"/>
  <conditionalFormatting sqref="B1:B1048576">
    <cfRule type="duplicateValues" dxfId="1" priority="1"/>
  </conditionalFormatting>
  <conditionalFormatting sqref="E2:F3">
    <cfRule type="expression" priority="5">
      <formula>MOD(E688:E1048270,2)&gt;0</formula>
    </cfRule>
  </conditionalFormatting>
  <conditionalFormatting sqref="E2:F5">
    <cfRule type="expression" dxfId="0" priority="4">
      <formula xml:space="preserve"> MOD(E:E/2,1)&gt;0</formula>
    </cfRule>
  </conditionalFormatting>
  <conditionalFormatting sqref="E4:F4">
    <cfRule type="expression" priority="6">
      <formula>MOD(E691:E1048273,2)&gt;0</formula>
    </cfRule>
  </conditionalFormatting>
  <conditionalFormatting sqref="E5:F5">
    <cfRule type="expression" priority="2">
      <formula>MOD(E694:E1048276,2)&gt;0</formula>
    </cfRule>
    <cfRule type="expression" priority="3">
      <formula>MOD(E693:E1048275,2)&gt;0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D1CB-3B93-4D65-9BFE-46A113D9F0AD}">
  <sheetPr codeName="Sheet10">
    <tabColor rgb="FF00B0F0"/>
  </sheetPr>
  <dimension ref="B3:F20"/>
  <sheetViews>
    <sheetView topLeftCell="A7" zoomScaleNormal="100" workbookViewId="0">
      <selection activeCell="C28" sqref="C28"/>
    </sheetView>
  </sheetViews>
  <sheetFormatPr defaultColWidth="9.26953125" defaultRowHeight="15.5"/>
  <cols>
    <col min="1" max="1" width="9.54296875" style="25" customWidth="1"/>
    <col min="2" max="2" width="28.36328125" style="25" customWidth="1"/>
    <col min="3" max="3" width="48.54296875" style="25" bestFit="1" customWidth="1"/>
    <col min="4" max="4" width="27" style="25" customWidth="1"/>
    <col min="5" max="5" width="70" style="25" customWidth="1"/>
    <col min="6" max="6" width="20.1796875" style="25" customWidth="1"/>
    <col min="7" max="16384" width="9.26953125" style="25"/>
  </cols>
  <sheetData>
    <row r="3" spans="2:5" ht="39.65" customHeight="1">
      <c r="B3" s="36" t="s">
        <v>7</v>
      </c>
      <c r="C3" s="136" t="s">
        <v>67</v>
      </c>
      <c r="D3" s="137"/>
      <c r="E3" s="138"/>
    </row>
    <row r="4" spans="2:5" ht="92.25" customHeight="1">
      <c r="B4" s="26" t="s">
        <v>22</v>
      </c>
      <c r="C4" s="142" t="s">
        <v>68</v>
      </c>
      <c r="D4" s="139"/>
      <c r="E4" s="139"/>
    </row>
    <row r="5" spans="2:5" ht="85.5" customHeight="1">
      <c r="B5" s="26" t="s">
        <v>61</v>
      </c>
      <c r="C5" s="142" t="s">
        <v>69</v>
      </c>
      <c r="D5" s="139"/>
      <c r="E5" s="139"/>
    </row>
    <row r="8" spans="2:5" ht="29.25" customHeight="1">
      <c r="B8" s="35" t="s">
        <v>70</v>
      </c>
    </row>
    <row r="9" spans="2:5" ht="27.75" customHeight="1">
      <c r="B9" s="140" t="s">
        <v>71</v>
      </c>
      <c r="C9" s="27" t="s">
        <v>72</v>
      </c>
      <c r="D9" s="140" t="s">
        <v>73</v>
      </c>
      <c r="E9" s="140"/>
    </row>
    <row r="10" spans="2:5" ht="38.25" customHeight="1">
      <c r="B10" s="141"/>
      <c r="C10" s="28" t="s">
        <v>74</v>
      </c>
      <c r="D10" s="28" t="s">
        <v>75</v>
      </c>
      <c r="E10" s="28" t="s">
        <v>76</v>
      </c>
    </row>
    <row r="11" spans="2:5" ht="53.25" customHeight="1">
      <c r="B11" s="26" t="s">
        <v>77</v>
      </c>
      <c r="C11" s="29" t="s">
        <v>78</v>
      </c>
      <c r="D11" s="143" t="s">
        <v>79</v>
      </c>
      <c r="E11" s="143"/>
    </row>
    <row r="12" spans="2:5" ht="53.25" customHeight="1">
      <c r="B12" s="26" t="s">
        <v>80</v>
      </c>
      <c r="C12" s="30" t="s">
        <v>81</v>
      </c>
      <c r="D12" s="144" t="s">
        <v>82</v>
      </c>
      <c r="E12" s="145"/>
    </row>
    <row r="13" spans="2:5" ht="53.25" customHeight="1">
      <c r="B13" s="26" t="s">
        <v>83</v>
      </c>
      <c r="C13" s="30" t="s">
        <v>84</v>
      </c>
      <c r="D13" s="144" t="s">
        <v>85</v>
      </c>
      <c r="E13" s="145"/>
    </row>
    <row r="17" spans="2:6" ht="30.75" customHeight="1">
      <c r="B17" s="31" t="s">
        <v>86</v>
      </c>
      <c r="C17" s="32"/>
      <c r="D17" s="33"/>
      <c r="E17" s="33"/>
    </row>
    <row r="18" spans="2:6" ht="49.5" customHeight="1">
      <c r="B18" s="34" t="s">
        <v>87</v>
      </c>
      <c r="C18" s="139" t="s">
        <v>88</v>
      </c>
      <c r="D18" s="139"/>
      <c r="E18" s="139"/>
      <c r="F18" s="33"/>
    </row>
    <row r="19" spans="2:6" ht="49.5" customHeight="1">
      <c r="B19" s="34" t="s">
        <v>75</v>
      </c>
      <c r="C19" s="139" t="s">
        <v>89</v>
      </c>
      <c r="D19" s="139"/>
      <c r="E19" s="139"/>
      <c r="F19" s="33"/>
    </row>
    <row r="20" spans="2:6" ht="49.5" customHeight="1">
      <c r="B20" s="34" t="s">
        <v>90</v>
      </c>
      <c r="C20" s="139" t="s">
        <v>91</v>
      </c>
      <c r="D20" s="139"/>
      <c r="E20" s="139"/>
      <c r="F20" s="33"/>
    </row>
  </sheetData>
  <mergeCells count="11">
    <mergeCell ref="C3:E3"/>
    <mergeCell ref="C18:E18"/>
    <mergeCell ref="C19:E19"/>
    <mergeCell ref="C20:E20"/>
    <mergeCell ref="B9:B10"/>
    <mergeCell ref="C4:E4"/>
    <mergeCell ref="C5:E5"/>
    <mergeCell ref="D9:E9"/>
    <mergeCell ref="D11:E11"/>
    <mergeCell ref="D12:E12"/>
    <mergeCell ref="D13:E1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42490b-809c-485c-a127-0ea0c2e12b0b" xsi:nil="true"/>
    <lcf76f155ced4ddcb4097134ff3c332f xmlns="65d4c795-5362-4472-a968-0591b4901ad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C2141999F3A34989E45D589C11CC4C" ma:contentTypeVersion="12" ma:contentTypeDescription="Create a new document." ma:contentTypeScope="" ma:versionID="fffa584a95f0f180d3ff00a1c6b20f2c">
  <xsd:schema xmlns:xsd="http://www.w3.org/2001/XMLSchema" xmlns:xs="http://www.w3.org/2001/XMLSchema" xmlns:p="http://schemas.microsoft.com/office/2006/metadata/properties" xmlns:ns2="65d4c795-5362-4472-a968-0591b4901adb" xmlns:ns3="0e42490b-809c-485c-a127-0ea0c2e12b0b" targetNamespace="http://schemas.microsoft.com/office/2006/metadata/properties" ma:root="true" ma:fieldsID="6b1bfd8c2e9b957913a6f07f22fa0e9e" ns2:_="" ns3:_="">
    <xsd:import namespace="65d4c795-5362-4472-a968-0591b4901adb"/>
    <xsd:import namespace="0e42490b-809c-485c-a127-0ea0c2e12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4c795-5362-4472-a968-0591b4901a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e4a51d-6507-421c-8760-bc61444c9b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2490b-809c-485c-a127-0ea0c2e12b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b79394-0261-402f-b708-334df4b4a200}" ma:internalName="TaxCatchAll" ma:showField="CatchAllData" ma:web="0e42490b-809c-485c-a127-0ea0c2e12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A5E9D6-D263-445D-A876-96A4702D14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BA5460-617B-4FEF-BA90-2B9D69F7B2B2}">
  <ds:schemaRefs>
    <ds:schemaRef ds:uri="http://schemas.microsoft.com/office/2006/metadata/properties"/>
    <ds:schemaRef ds:uri="http://schemas.microsoft.com/office/infopath/2007/PartnerControls"/>
    <ds:schemaRef ds:uri="0e42490b-809c-485c-a127-0ea0c2e12b0b"/>
    <ds:schemaRef ds:uri="65d4c795-5362-4472-a968-0591b4901adb"/>
  </ds:schemaRefs>
</ds:datastoreItem>
</file>

<file path=customXml/itemProps3.xml><?xml version="1.0" encoding="utf-8"?>
<ds:datastoreItem xmlns:ds="http://schemas.openxmlformats.org/officeDocument/2006/customXml" ds:itemID="{1BCBA3EB-3C5C-4F4D-BA3B-BDBA6C49B7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d4c795-5362-4472-a968-0591b4901adb"/>
    <ds:schemaRef ds:uri="0e42490b-809c-485c-a127-0ea0c2e12b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9b7d34e-545d-48ef-aae6-8370e78eb279}" enabled="1" method="Privileged" siteId="{fab2d60f-e614-4f9d-b2ad-9fb1397f2e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</vt:lpstr>
      <vt:lpstr>January</vt:lpstr>
      <vt:lpstr>February</vt:lpstr>
      <vt:lpstr>Sheet1</vt:lpstr>
      <vt:lpstr>March</vt:lpstr>
      <vt:lpstr>April</vt:lpstr>
      <vt:lpstr>May</vt:lpstr>
      <vt:lpstr>Quality Metrics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Mahfudin</dc:creator>
  <cp:keywords/>
  <dc:description/>
  <cp:lastModifiedBy>Mahfudin</cp:lastModifiedBy>
  <cp:revision/>
  <dcterms:created xsi:type="dcterms:W3CDTF">2025-07-08T07:30:14Z</dcterms:created>
  <dcterms:modified xsi:type="dcterms:W3CDTF">2026-06-17T08:01:33Z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0x0101004DC2141999F3A34989E45D589C11CC4C</vt:lpwstr>
  </property>
  <property fmtid="{D5CDD505-2E9C-101B-9397-08002B2CF9AE}" pid="3" name="MediaServiceImageTags">
    <vt:lpwstr/>
  </property>
</Properties>
</file>