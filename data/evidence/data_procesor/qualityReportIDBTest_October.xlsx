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DEV\Quality_Report_IDB\data\evidence\data_procesor\"/>
    </mc:Choice>
  </mc:AlternateContent>
  <xr:revisionPtr revIDLastSave="0" documentId="13_ncr:1_{31C1C951-FB0E-4C1B-BC52-D0CF621119B2}" xr6:coauthVersionLast="47" xr6:coauthVersionMax="47" xr10:uidLastSave="{00000000-0000-0000-0000-000000000000}"/>
  <bookViews>
    <workbookView xWindow="7215" yWindow="-16320" windowWidth="29040" windowHeight="16440" activeTab="11" xr2:uid="{1BFDC0BB-3264-4789-A41B-B16DE7BD9ED5}"/>
  </bookViews>
  <sheets>
    <sheet name="SI" sheetId="13" r:id="rId1"/>
    <sheet name="January" sheetId="10" r:id="rId2"/>
    <sheet name="February" sheetId="9" r:id="rId3"/>
    <sheet name="March" sheetId="8" r:id="rId4"/>
    <sheet name="April" sheetId="7" r:id="rId5"/>
    <sheet name="May" sheetId="1" r:id="rId6"/>
    <sheet name="June" sheetId="6" r:id="rId7"/>
    <sheet name="July" sheetId="16" r:id="rId8"/>
    <sheet name="August" sheetId="17" r:id="rId9"/>
    <sheet name="September" sheetId="18" r:id="rId10"/>
    <sheet name="October" sheetId="19" r:id="rId11"/>
    <sheet name="Quality Metrics" sheetId="15" r:id="rId12"/>
  </sheets>
  <definedNames>
    <definedName name="_xlnm._FilterDatabase" localSheetId="4" hidden="1">April!$A$1:$Q$1</definedName>
    <definedName name="_xlnm._FilterDatabase" localSheetId="8" hidden="1">August!$A$1:$Q$1</definedName>
    <definedName name="_xlnm._FilterDatabase" localSheetId="2" hidden="1">February!$A$1:$Q$1</definedName>
    <definedName name="_xlnm._FilterDatabase" localSheetId="1" hidden="1">January!$A$1:$Q$1</definedName>
    <definedName name="_xlnm._FilterDatabase" localSheetId="7" hidden="1">July!$A$1:$Q$1</definedName>
    <definedName name="_xlnm._FilterDatabase" localSheetId="6" hidden="1">June!$A$1:$Q$1</definedName>
    <definedName name="_xlnm._FilterDatabase" localSheetId="3" hidden="1">March!$A$1:$Q$1</definedName>
    <definedName name="_xlnm._FilterDatabase" localSheetId="5" hidden="1">May!$A$1:$Q$1</definedName>
    <definedName name="_xlnm._FilterDatabase" localSheetId="10" hidden="1">October!$A$1:$R$1</definedName>
    <definedName name="_xlnm._FilterDatabase" localSheetId="9" hidden="1">September!$A$1:$R$1</definedName>
    <definedName name="_xlnm._FilterDatabase" localSheetId="0" hidden="1">SI!$A$1:$R$7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3" l="1"/>
  <c r="P12" i="13"/>
  <c r="O12" i="13"/>
  <c r="Q10" i="19"/>
  <c r="P10" i="19"/>
  <c r="O10" i="19"/>
  <c r="Q9" i="19"/>
  <c r="P9" i="19"/>
  <c r="O9" i="19"/>
  <c r="Q8" i="19"/>
  <c r="P8" i="19"/>
  <c r="O8" i="19"/>
  <c r="Q7" i="19"/>
  <c r="P7" i="19"/>
  <c r="O7" i="19"/>
  <c r="Q6" i="19"/>
  <c r="P6" i="19"/>
  <c r="O6" i="19"/>
  <c r="Q5" i="19"/>
  <c r="P5" i="19"/>
  <c r="O5" i="19"/>
  <c r="Q4" i="19"/>
  <c r="P4" i="19"/>
  <c r="O4" i="19"/>
  <c r="Q3" i="19"/>
  <c r="P3" i="19"/>
  <c r="O3" i="19"/>
  <c r="Q2" i="19"/>
  <c r="P2" i="19"/>
  <c r="O2" i="19"/>
  <c r="Q5" i="18"/>
  <c r="P5" i="18"/>
  <c r="O5" i="18"/>
  <c r="Q11" i="13"/>
  <c r="P11" i="13"/>
  <c r="O11" i="13"/>
  <c r="Q9" i="13"/>
  <c r="P9" i="13"/>
  <c r="O9" i="13"/>
  <c r="O10" i="18"/>
  <c r="P10" i="18"/>
  <c r="Q10" i="18"/>
  <c r="Q9" i="18"/>
  <c r="P9" i="18"/>
  <c r="O9" i="18"/>
  <c r="Q8" i="18"/>
  <c r="P8" i="18"/>
  <c r="O8" i="18"/>
  <c r="Q7" i="18"/>
  <c r="P7" i="18"/>
  <c r="O7" i="18"/>
  <c r="Q6" i="18"/>
  <c r="P6" i="18"/>
  <c r="O6" i="18"/>
  <c r="Q4" i="18"/>
  <c r="P4" i="18"/>
  <c r="O4" i="18"/>
  <c r="Q3" i="18"/>
  <c r="P3" i="18"/>
  <c r="O3" i="18"/>
  <c r="Q2" i="18"/>
  <c r="P2" i="18"/>
  <c r="O2" i="18"/>
  <c r="N2" i="17"/>
  <c r="O2" i="17"/>
  <c r="P2" i="17"/>
  <c r="Q6" i="13"/>
  <c r="P6" i="13"/>
  <c r="O6" i="13"/>
  <c r="Q10" i="13"/>
  <c r="P10" i="13"/>
  <c r="O10" i="13"/>
  <c r="P9" i="17"/>
  <c r="O9" i="17"/>
  <c r="N9" i="17"/>
  <c r="P8" i="17"/>
  <c r="O8" i="17"/>
  <c r="N8" i="17"/>
  <c r="P7" i="17"/>
  <c r="O7" i="17"/>
  <c r="N7" i="17"/>
  <c r="P6" i="17"/>
  <c r="O6" i="17"/>
  <c r="N6" i="17"/>
  <c r="P5" i="17"/>
  <c r="O5" i="17"/>
  <c r="N5" i="17"/>
  <c r="P4" i="17"/>
  <c r="O4" i="17"/>
  <c r="N4" i="17"/>
  <c r="P3" i="17"/>
  <c r="O3" i="17"/>
  <c r="N3" i="17"/>
  <c r="Q5" i="13"/>
  <c r="P5" i="13"/>
  <c r="O5" i="13"/>
  <c r="P9" i="16"/>
  <c r="O9" i="16"/>
  <c r="N9" i="16"/>
  <c r="P8" i="16"/>
  <c r="O8" i="16"/>
  <c r="N8" i="16"/>
  <c r="P7" i="16"/>
  <c r="O7" i="16"/>
  <c r="N7" i="16"/>
  <c r="P6" i="16"/>
  <c r="O6" i="16"/>
  <c r="N6" i="16"/>
  <c r="P5" i="16"/>
  <c r="O5" i="16"/>
  <c r="N5" i="16"/>
  <c r="P4" i="16"/>
  <c r="O4" i="16"/>
  <c r="N4" i="16"/>
  <c r="P3" i="16"/>
  <c r="O3" i="16"/>
  <c r="N3" i="16"/>
  <c r="P2" i="16"/>
  <c r="O2" i="16"/>
  <c r="N2" i="16"/>
  <c r="Q8" i="13"/>
  <c r="P8" i="13"/>
  <c r="O8" i="13"/>
  <c r="Q7" i="13"/>
  <c r="P7" i="13"/>
  <c r="O7" i="13"/>
  <c r="Q4" i="13"/>
  <c r="P4" i="13"/>
  <c r="O4" i="13"/>
  <c r="Q3" i="13"/>
  <c r="P3" i="13"/>
  <c r="O3" i="13"/>
  <c r="Q2" i="13"/>
  <c r="P2" i="13"/>
  <c r="O2" i="13"/>
  <c r="P4" i="10"/>
  <c r="O4" i="10"/>
  <c r="N4" i="10"/>
  <c r="P3" i="10"/>
  <c r="O3" i="10"/>
  <c r="N3" i="10"/>
  <c r="P2" i="10"/>
  <c r="O2" i="10"/>
  <c r="N2" i="10"/>
  <c r="P5" i="9"/>
  <c r="O5" i="9"/>
  <c r="N5" i="9"/>
  <c r="P4" i="9"/>
  <c r="O4" i="9"/>
  <c r="N4" i="9"/>
  <c r="P3" i="9"/>
  <c r="O3" i="9"/>
  <c r="N3" i="9"/>
  <c r="P2" i="9"/>
  <c r="O2" i="9"/>
  <c r="N2" i="9"/>
  <c r="P5" i="8"/>
  <c r="O5" i="8"/>
  <c r="N5" i="8"/>
  <c r="P4" i="8"/>
  <c r="O4" i="8"/>
  <c r="N4" i="8"/>
  <c r="P3" i="8"/>
  <c r="O3" i="8"/>
  <c r="N3" i="8"/>
  <c r="P2" i="8"/>
  <c r="O2" i="8"/>
  <c r="N2" i="8"/>
  <c r="P6" i="7"/>
  <c r="O6" i="7"/>
  <c r="N6" i="7"/>
  <c r="P5" i="7"/>
  <c r="O5" i="7"/>
  <c r="N5" i="7"/>
  <c r="P4" i="7"/>
  <c r="O4" i="7"/>
  <c r="N4" i="7"/>
  <c r="P3" i="7"/>
  <c r="O3" i="7"/>
  <c r="N3" i="7"/>
  <c r="P2" i="7"/>
  <c r="O2" i="7"/>
  <c r="N2" i="7"/>
  <c r="P8" i="6"/>
  <c r="O8" i="6"/>
  <c r="N8" i="6"/>
  <c r="P7" i="6"/>
  <c r="O7" i="6"/>
  <c r="N7" i="6"/>
  <c r="P6" i="6"/>
  <c r="O6" i="6"/>
  <c r="N6" i="6"/>
  <c r="P5" i="6"/>
  <c r="O5" i="6"/>
  <c r="N5" i="6"/>
  <c r="P4" i="6"/>
  <c r="O4" i="6"/>
  <c r="N4" i="6"/>
  <c r="P3" i="6"/>
  <c r="O3" i="6"/>
  <c r="N3" i="6"/>
  <c r="P2" i="6"/>
  <c r="O2" i="6"/>
  <c r="N2" i="6"/>
  <c r="N2" i="1" l="1"/>
  <c r="N3" i="1"/>
  <c r="N4" i="1"/>
  <c r="N5" i="1"/>
  <c r="N6" i="1"/>
  <c r="N7" i="1"/>
  <c r="O2" i="1"/>
  <c r="O3" i="1"/>
  <c r="O4" i="1"/>
  <c r="O5" i="1"/>
  <c r="O6" i="1"/>
  <c r="O7" i="1"/>
  <c r="P3" i="1"/>
  <c r="P4" i="1"/>
  <c r="P5" i="1"/>
  <c r="P6" i="1"/>
  <c r="P7" i="1"/>
  <c r="P2" i="1"/>
</calcChain>
</file>

<file path=xl/sharedStrings.xml><?xml version="1.0" encoding="utf-8"?>
<sst xmlns="http://schemas.openxmlformats.org/spreadsheetml/2006/main" count="630" uniqueCount="173">
  <si>
    <t>Project ID</t>
  </si>
  <si>
    <t xml:space="preserve"> Project Name</t>
  </si>
  <si>
    <t>IDB Team</t>
  </si>
  <si>
    <t>Start date</t>
  </si>
  <si>
    <t>End Date</t>
  </si>
  <si>
    <t>Project Leader or PIC</t>
  </si>
  <si>
    <t>No of Employee</t>
  </si>
  <si>
    <t>Project Type</t>
  </si>
  <si>
    <t>Sprint</t>
  </si>
  <si>
    <t>Sprint Schedule</t>
  </si>
  <si>
    <t>Total Workload</t>
  </si>
  <si>
    <t>Completed Workload</t>
  </si>
  <si>
    <t>Defect</t>
  </si>
  <si>
    <t>Fixed defect</t>
  </si>
  <si>
    <t>Function 
Fulfillment Rate</t>
  </si>
  <si>
    <t>Defect 
Density</t>
  </si>
  <si>
    <t>Defect 
Correction Rate</t>
  </si>
  <si>
    <t>Comment</t>
  </si>
  <si>
    <t>LGSM Career Job Portal</t>
  </si>
  <si>
    <t>[LGSM] Internal Project</t>
  </si>
  <si>
    <t>Sapta Sanjaya</t>
  </si>
  <si>
    <t>2 + SF Dev</t>
  </si>
  <si>
    <t>SI</t>
  </si>
  <si>
    <t>S#1</t>
  </si>
  <si>
    <t>2025-03-03 ~ 2025-03-26</t>
  </si>
  <si>
    <t>16 out of 18 tasks have been completed successfully. All 16 identified defects have been resolved.</t>
  </si>
  <si>
    <t>S#2</t>
  </si>
  <si>
    <t>2025-04-08 ~ 2025-05-02</t>
  </si>
  <si>
    <t>All tasks (11) have been completed. 6 defects were detected and have been fully fixed.</t>
  </si>
  <si>
    <t>S#3</t>
  </si>
  <si>
    <t>2025-05-05 ~ 2025-06-25</t>
  </si>
  <si>
    <t>2 Tasks and 2 Issues are carried over and completed on Sprint 4</t>
  </si>
  <si>
    <t>S#4</t>
  </si>
  <si>
    <t>2025-06-02 ~ 2025-07-02</t>
  </si>
  <si>
    <t>4 Tasks are carried over to Sprint 5. (3 completed, 1 carried over again to Sprint 6)</t>
  </si>
  <si>
    <t>S#5</t>
  </si>
  <si>
    <t>2025-07-02 ~ 2025-08-01</t>
  </si>
  <si>
    <t>10 Tasks and 4 Bugs are carried over to Sprint 6</t>
  </si>
  <si>
    <t>S#6</t>
  </si>
  <si>
    <t>12 Story and 5 taks have been completed , and 31 defect already fixed.
this is last sprint before Job portal going to System Maintenance (SM) project.</t>
  </si>
  <si>
    <t>SF Intelligence Unit Testing Project</t>
  </si>
  <si>
    <t>[GDC] Smart Factory</t>
  </si>
  <si>
    <t>Ninan Kara Gicha Nasution</t>
  </si>
  <si>
    <t>2 Tester</t>
  </si>
  <si>
    <t xml:space="preserve"> 2025-04-21 ~ 2025-04-25</t>
  </si>
  <si>
    <t>Sprint #1 - Testing Scenario: Scenario received on May 25, completed on June 25
Total scenarios: 269
Executed: 265
In Progress: 0
Passed: 222
Failed: 41</t>
  </si>
  <si>
    <t>Sprint #2
Total scenarios: 855
Executed: 828
Passed: 776
Failed: 28
Blocked : 24
Untested : 27</t>
  </si>
  <si>
    <t xml:space="preserve"> 2025-06-30 ~ 2025-08-14</t>
  </si>
  <si>
    <t>Sprint #3
Total scenarios: 730
Executed: 729
Passed: 729
Failed: 1</t>
  </si>
  <si>
    <t>[Bank Sinarmas] Provision of Card Management System Services</t>
  </si>
  <si>
    <t>[LDC] Bank Sinarmas</t>
  </si>
  <si>
    <t>Andini Margaretta Tarigan</t>
  </si>
  <si>
    <t xml:space="preserve"> 2025-09-01 ~ 2025-10-03</t>
  </si>
  <si>
    <r>
      <rPr>
        <b/>
        <sz val="10"/>
        <color rgb="FF000000"/>
        <rFont val="LG Smart_H Regular"/>
        <family val="2"/>
      </rPr>
      <t xml:space="preserve">[Cumulative]
</t>
    </r>
    <r>
      <rPr>
        <sz val="10"/>
        <color rgb="FF000000"/>
        <rFont val="LG Smart_H Regular"/>
        <family val="2"/>
      </rPr>
      <t xml:space="preserve">- Authorization/Common part : Plan = 72 | Actual = 77
- Front part : Plan = 70 | Actual = 92
- Back-end part : Plan = 73 | Actual = 72 (There was a delay in reflecting the brand incoming file due to work reference checks)
</t>
    </r>
    <r>
      <rPr>
        <b/>
        <sz val="10"/>
        <color rgb="FF000000"/>
        <rFont val="LG Smart_H Regular"/>
        <family val="2"/>
      </rPr>
      <t>Overall Progress = 37.8%</t>
    </r>
  </si>
  <si>
    <t xml:space="preserve"> 2025-10-01 ~ 2025-10-30</t>
  </si>
  <si>
    <r>
      <rPr>
        <b/>
        <sz val="10"/>
        <color rgb="FF000000"/>
        <rFont val="LG Smart_H Regular"/>
      </rPr>
      <t xml:space="preserve">[Cumulative]
</t>
    </r>
    <r>
      <rPr>
        <sz val="10"/>
        <color rgb="FF000000"/>
        <rFont val="LG Smart_H Regular"/>
      </rPr>
      <t xml:space="preserve">- Authorization/Common part : Plan = 123 | Actual = 107
- Front part : Plan = 119 | Actual = 133
- Back-end part : Plan = 121 | Actual = 125
- Bank Sinarmas : Plan = 3 | Actual = 0
</t>
    </r>
    <r>
      <rPr>
        <b/>
        <sz val="10"/>
        <color rgb="FF000000"/>
        <rFont val="LG Smart_H Regular"/>
      </rPr>
      <t xml:space="preserve">delay reason : 
</t>
    </r>
    <r>
      <rPr>
        <sz val="10"/>
        <color rgb="FF000000"/>
        <rFont val="LG Smart_H Regular"/>
      </rPr>
      <t xml:space="preserve">Authorization Part Catch-Up Details : Total 99 remains(Including 3 BSIM development)
   -. ~11/7 : 18 Complete (Visa Acquirer/Issuer, QRIS, UPI Acquirer/Issuer)
   -. ~11/15 : 15 Complete (Prima ATM, Alto ATM)
   -. ~11/21 : 17 Comelete (ATMB ATM, ATM Inquiry/Bill Payment)
   -. ~11/28 : 33 Complete  (Prima EDC, Alto EDC, Core Banking, ATM Other Feature)
   -. ~12/5 : 16 Complete (Screen, Post Authorization, API)
</t>
    </r>
    <r>
      <rPr>
        <b/>
        <sz val="10"/>
        <color rgb="FF000000"/>
        <rFont val="LG Smart_H Regular"/>
      </rPr>
      <t xml:space="preserve">
Overall Progress = 59.9%</t>
    </r>
  </si>
  <si>
    <t>Productivity Rate</t>
  </si>
  <si>
    <t>Defect Density</t>
  </si>
  <si>
    <t>Defect Correction Rate</t>
  </si>
  <si>
    <t>Salesforce Maintenance &amp; Enhancement Project</t>
  </si>
  <si>
    <t>[GDC] LGUS</t>
  </si>
  <si>
    <t>Nisha Devadas Bhat</t>
  </si>
  <si>
    <t>SM</t>
  </si>
  <si>
    <t>7 out of 8 tasks were completed, with no defects reported.</t>
  </si>
  <si>
    <t>SF Core Unit 2025</t>
  </si>
  <si>
    <t xml:space="preserve">Stefanus Kurniawan, Willy Candra Sugianto </t>
  </si>
  <si>
    <t>SF Core is not yet fully using Wire-Work for Task Tracking Management</t>
  </si>
  <si>
    <t>SF Process DX Team 2025</t>
  </si>
  <si>
    <t>All 14 tasks were completed without any defect occurrences.</t>
  </si>
  <si>
    <t>7 of 8 tasks have been completed. No defects were found during this sprint.</t>
  </si>
  <si>
    <t>SF Automation 2025</t>
  </si>
  <si>
    <t xml:space="preserve">Jeremy Marvin Christian, Willy Candra Sugianto </t>
  </si>
  <si>
    <t>All assigned tasks were completed successfully with zero defects reported.</t>
  </si>
  <si>
    <t>Full task completion achieved with no bugs identified.</t>
  </si>
  <si>
    <t>100% workload completed with clean execution and no defects recorded.</t>
  </si>
  <si>
    <t>5 out of 6 tasks were completed, showing solid progress with no defects reported.</t>
  </si>
  <si>
    <t>100% task completion (24/24). No defects found.</t>
  </si>
  <si>
    <t>18 of 19 tasks completed. All with zero defects.</t>
  </si>
  <si>
    <t xml:space="preserve">All tasks completed (7/7). </t>
  </si>
  <si>
    <t>8 of 9 tasks completed. Smooth progress with no defects.</t>
  </si>
  <si>
    <t>100% completion. No issues encountered.</t>
  </si>
  <si>
    <t>All tasks delivered successfully.</t>
  </si>
  <si>
    <t xml:space="preserve"> No defects across all 57 tasks.</t>
  </si>
  <si>
    <t>SINGLEX Business Unit Testing Project</t>
  </si>
  <si>
    <t>[GDC] SINGLEX</t>
  </si>
  <si>
    <t>Riski Candra Aristiawan</t>
  </si>
  <si>
    <t>Full task completion. Testing went flawlessly.</t>
  </si>
  <si>
    <t>All tasks were completed successfully without any defects reported.</t>
  </si>
  <si>
    <t>Purchasing Enhancement Project</t>
  </si>
  <si>
    <t>Muhammad Lukmanul Hakim</t>
  </si>
  <si>
    <t>Project achieved full delivery with no quality issues encountered.</t>
  </si>
  <si>
    <t>All tasks delivered, with 1 defect discovered and promptly resolved.</t>
  </si>
  <si>
    <t>Project completed without any technical issues or defects.</t>
  </si>
  <si>
    <t>The sprint ended with 100% completion and no bugs recorded.</t>
  </si>
  <si>
    <t>119 task completed with 12 defects identified</t>
  </si>
  <si>
    <t>11 out of 13 tasks were completed. No defects were reported.</t>
  </si>
  <si>
    <t>All tasks completed successfully. 28 defects resolved during the sprint.</t>
  </si>
  <si>
    <t>Project completed with full delivery and no issues encountered.</t>
  </si>
  <si>
    <t>Nearly all tasks were finished. 1 defect was identified and fixed.</t>
  </si>
  <si>
    <t>100% completion with no defects.</t>
  </si>
  <si>
    <t>Solution Unit Quality DX Team Project 2025</t>
  </si>
  <si>
    <t>All 5 tasks completed. No issues encountered.</t>
  </si>
  <si>
    <t>High workload accomplished. 23 defects were reported.</t>
  </si>
  <si>
    <t>9 out of 11 tasks were completed. 2 defects were reported and all fixed.</t>
  </si>
  <si>
    <t>82 out of 83 tasks were completed, mostly do defect fixing</t>
  </si>
  <si>
    <t>All 5 tasks were completed. No defects were reported.</t>
  </si>
  <si>
    <t>185 out of 193 tasks were completed. 20 defects were reported and all fixed.</t>
  </si>
  <si>
    <t>All 58 tasks were completed. No defects were reported.</t>
  </si>
  <si>
    <t>13 out of 14 tasks were completed. No defects were reported.</t>
  </si>
  <si>
    <t>143 out of 148 tasks were completed. 7 defects were reported</t>
  </si>
  <si>
    <t>KB Bank System Maintenance</t>
  </si>
  <si>
    <t>[GDC] SHINE NGBS</t>
  </si>
  <si>
    <t>Andhika Putra</t>
  </si>
  <si>
    <t>40 out of 44 tasks were completed. 1 defect was reported and fixed.</t>
  </si>
  <si>
    <t xml:space="preserve">9 out of 10 tasks were completed. 1 defect was reported and fixed. 
unfinish task : 1 tasks is because cannot be replicate the task on dev environment.
</t>
  </si>
  <si>
    <t>105 out of 109 tasks were completed. No defects were reported. Workload mostly involved fixing 89 bugs and developing 20 tasks.</t>
  </si>
  <si>
    <t>50 out of 55 tasks were completed. No defects were reported.</t>
  </si>
  <si>
    <t>231 out of 238 tasks were completed. 6 defects were reported and all fixed.</t>
  </si>
  <si>
    <t>71 out of 73 tasks were completed. 2 defects were reported and all fixed.</t>
  </si>
  <si>
    <t>All 6 tasks were completed. No defects were reported.</t>
  </si>
  <si>
    <t>20 defects found earlier, 18 already fixed, 2 still being resolved by developer.</t>
  </si>
  <si>
    <t>All 18 tasks were completed.</t>
  </si>
  <si>
    <t>Period</t>
  </si>
  <si>
    <t>1 Sep ~ 3 Oct 2025</t>
  </si>
  <si>
    <t>Finish 26 task and 47 fixing defect</t>
  </si>
  <si>
    <t>28 Aug ~ 3 Sep 2025</t>
  </si>
  <si>
    <t>Finish 32 Task and 11 Story, no defect found</t>
  </si>
  <si>
    <t>247 out of 263 tasks were completed. 9 defects were reported and all have been fixed.</t>
  </si>
  <si>
    <t>SF Manufacture DX Team 2025</t>
  </si>
  <si>
    <t>All 7 tasks were completed. No defects were reported.</t>
  </si>
  <si>
    <t>101 out of 103 tasks were completed. 1 defect was reported and fixed.</t>
  </si>
  <si>
    <t>1 out of 1 task was completed. No defects were reported.</t>
  </si>
  <si>
    <t>150 out of 155 tasks were completed. 1 defect was reported and fixed.</t>
  </si>
  <si>
    <t>Doddy Poerwo Haryadi</t>
  </si>
  <si>
    <t>62 out of 64 tasks were completed. 5 defects were reported and all have been fixed.</t>
  </si>
  <si>
    <t>-</t>
  </si>
  <si>
    <t>Resolved 28 bugs. Completed 13 user stories. Finished 2 tasks and 20 sub-tasks.</t>
  </si>
  <si>
    <t>01 Oct ~ 31 Oct 2025</t>
  </si>
  <si>
    <t>A total of 18 tasks were completed, and 35 defects were successfully resolved.</t>
  </si>
  <si>
    <t>25 Sep ~ 05 Nov 2025</t>
  </si>
  <si>
    <t>A total of 73 tasks and 3 stories were completed, while 9 tasks remain in progress.</t>
  </si>
  <si>
    <t>79 tasks and 120 stories were completed; 1 defect was resolved, and 4 tasks remain in progress.</t>
  </si>
  <si>
    <t>All assigned tasks were completed on schedule.</t>
  </si>
  <si>
    <t>108 tasks and 8 stories were completed; 28 tasks are still under development.</t>
  </si>
  <si>
    <t>No tasks were assigned during this period.</t>
  </si>
  <si>
    <t>135 out of 136 tasks were completed; 1 defect was reported and fixed.</t>
  </si>
  <si>
    <t>06 Oct ~ 31 Oct 2025</t>
  </si>
  <si>
    <t>Several development and defect fixing tasks in Week 44 (27-31 October) were delayed when the DEV environment was shut down during the BI audit.</t>
  </si>
  <si>
    <t>Resolved 3 bugs. Completed 1 user story. Finished 1 task and 1 sub-task.</t>
  </si>
  <si>
    <t>Project evaluation will be conducted based on comprehensive "Project Quality Metrics," with the update frequency and evaluation approach tailored to the project type:</t>
  </si>
  <si>
    <r>
      <t>For </t>
    </r>
    <r>
      <rPr>
        <b/>
        <sz val="12"/>
        <color rgb="FF000000"/>
        <rFont val="Noto Sans KR"/>
      </rPr>
      <t>SI (System Integration)</t>
    </r>
    <r>
      <rPr>
        <sz val="12"/>
        <color rgb="FF000000"/>
        <rFont val="Noto Sans KR"/>
      </rPr>
      <t> projects, which involve building a new system from scratch, evaluations will be updated after every sprint to closely monitor development progress, quality, and issue resolution during incremental delivery phases.</t>
    </r>
  </si>
  <si>
    <r>
      <t>For </t>
    </r>
    <r>
      <rPr>
        <b/>
        <sz val="12"/>
        <color rgb="FF000000"/>
        <rFont val="Noto Sans KR"/>
      </rPr>
      <t>SM (System Maintenance)</t>
    </r>
    <r>
      <rPr>
        <sz val="12"/>
        <color rgb="FF000000"/>
        <rFont val="Noto Sans KR"/>
      </rPr>
      <t> projects, focused on maintaining and improving existing systems, evaluations will be updated monthly, allowing a broader view of ongoing system health and maintenance activities over time.</t>
    </r>
  </si>
  <si>
    <t>Quality Metrics</t>
  </si>
  <si>
    <t>Indicator</t>
  </si>
  <si>
    <t>Quality Rate</t>
  </si>
  <si>
    <t>Function Fulfilment Evaluation</t>
  </si>
  <si>
    <t>Bug Density</t>
  </si>
  <si>
    <t>Bug Correction Rate</t>
  </si>
  <si>
    <t>Risk</t>
  </si>
  <si>
    <t>Completed requests ≤ 70%</t>
  </si>
  <si>
    <t>Issue</t>
  </si>
  <si>
    <t>Completed requests ≥ 70% and &lt; 80%</t>
  </si>
  <si>
    <t>Standard</t>
  </si>
  <si>
    <t>Completed requests ≥ 80%</t>
  </si>
  <si>
    <t>Metric Definitions and Impact on Project Types</t>
  </si>
  <si>
    <t xml:space="preserve">Functional Fulfillment: </t>
  </si>
  <si>
    <t>Measures how much of the requested functions have been completed relative to the total planned functions for the project or component.</t>
  </si>
  <si>
    <t>Number of bugs found relative to the size of the project/component - critical for both new development (SI) and ongoing maintenance (SM).</t>
  </si>
  <si>
    <t xml:space="preserve">Bug Correction Rate: </t>
  </si>
  <si>
    <t>Percentage of bugs fixed within the evaluated period, indicating responsiveness and maintenance quality.</t>
  </si>
  <si>
    <r>
      <t xml:space="preserve">Bug density ≥ 3 </t>
    </r>
    <r>
      <rPr>
        <b/>
        <sz val="12"/>
        <color theme="1"/>
        <rFont val="Noto Sans KR"/>
        <family val="2"/>
      </rPr>
      <t>or</t>
    </r>
    <r>
      <rPr>
        <sz val="12"/>
        <color theme="1"/>
        <rFont val="Noto Sans KR"/>
        <family val="2"/>
      </rPr>
      <t xml:space="preserve"> Bug correction rate &lt; 70%</t>
    </r>
  </si>
  <si>
    <r>
      <t xml:space="preserve">Bug density &lt; 2 </t>
    </r>
    <r>
      <rPr>
        <b/>
        <sz val="12"/>
        <color rgb="FF000000"/>
        <rFont val="Noto Sans KR"/>
      </rPr>
      <t>or</t>
    </r>
    <r>
      <rPr>
        <sz val="12"/>
        <color rgb="FF000000"/>
        <rFont val="Noto Sans KR"/>
      </rPr>
      <t xml:space="preserve"> Bug correction rate ≥ 80%</t>
    </r>
  </si>
  <si>
    <r>
      <t xml:space="preserve">Bug density ≥ 2 </t>
    </r>
    <r>
      <rPr>
        <b/>
        <sz val="12"/>
        <color rgb="FF000000"/>
        <rFont val="Noto Sans KR"/>
      </rPr>
      <t>or</t>
    </r>
    <r>
      <rPr>
        <sz val="12"/>
        <color rgb="FF000000"/>
        <rFont val="Noto Sans KR"/>
      </rPr>
      <t xml:space="preserve"> Bug correction rate ≥ 70% and &lt; 80%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</si>
</sst>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_);[Red]\(0\)"/>
    <numFmt numFmtId="165" formatCode="[$-13809]d\ mmm\ yyyy;@"/>
  </numFmts>
  <fonts count="29" x14ac:knownFonts="1">
    <font>
      <sz val="11"/>
      <color theme="1"/>
      <name val="Aptos Narrow"/>
      <family val="2"/>
      <scheme val="minor"/>
    </font>
    <font>
      <sz val="10"/>
      <color theme="1"/>
      <name val="Noto Sans KR"/>
      <family val="2"/>
    </font>
    <font>
      <sz val="10"/>
      <color theme="1"/>
      <name val="Noto Sans KR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000000"/>
      <name val="Noto Sans KR"/>
      <family val="2"/>
    </font>
    <font>
      <b/>
      <sz val="10"/>
      <color rgb="FF172B4D"/>
      <name val="Noto Sans KR"/>
      <family val="2"/>
    </font>
    <font>
      <sz val="10"/>
      <color theme="1"/>
      <name val="Noto Sans KR"/>
      <family val="2"/>
    </font>
    <font>
      <sz val="10"/>
      <color rgb="FF000000"/>
      <name val="Noto Sans KR"/>
      <family val="2"/>
    </font>
    <font>
      <u/>
      <sz val="10"/>
      <color theme="10"/>
      <name val="Noto Sans KR"/>
      <family val="2"/>
    </font>
    <font>
      <sz val="11"/>
      <color theme="1"/>
      <name val="LG Smart_H Regular"/>
      <family val="2"/>
    </font>
    <font>
      <sz val="12"/>
      <color theme="1"/>
      <name val="LG Smart_H Regular"/>
      <family val="2"/>
    </font>
    <font>
      <u/>
      <sz val="12"/>
      <color theme="10"/>
      <name val="LG Smart_H Regular"/>
      <family val="2"/>
    </font>
    <font>
      <b/>
      <sz val="11"/>
      <color rgb="FF000000"/>
      <name val="LG Smart_H Regular"/>
      <family val="2"/>
    </font>
    <font>
      <b/>
      <sz val="11"/>
      <color rgb="FF172B4D"/>
      <name val="LG Smart_H Regular"/>
      <family val="2"/>
    </font>
    <font>
      <sz val="11"/>
      <color rgb="FF000000"/>
      <name val="LG Smart_H Regular"/>
      <family val="2"/>
    </font>
    <font>
      <b/>
      <sz val="12"/>
      <color theme="1"/>
      <name val="Noto Sans KR"/>
      <family val="2"/>
    </font>
    <font>
      <sz val="12"/>
      <color theme="1"/>
      <name val="Noto Sans KR"/>
      <family val="2"/>
    </font>
    <font>
      <b/>
      <i/>
      <sz val="12"/>
      <color theme="1"/>
      <name val="Noto Sans KR"/>
      <family val="2"/>
    </font>
    <font>
      <i/>
      <sz val="12"/>
      <color theme="1"/>
      <name val="Noto Sans KR"/>
      <family val="2"/>
    </font>
    <font>
      <sz val="12"/>
      <color rgb="FF000000"/>
      <name val="Noto Sans KR"/>
    </font>
    <font>
      <b/>
      <sz val="12"/>
      <color rgb="FF000000"/>
      <name val="Noto Sans KR"/>
    </font>
    <font>
      <b/>
      <sz val="10"/>
      <color rgb="FF000000"/>
      <name val="LG Smart_H Regular"/>
      <family val="2"/>
    </font>
    <font>
      <b/>
      <sz val="10"/>
      <color rgb="FF172B4D"/>
      <name val="LG Smart_H Regular"/>
      <family val="2"/>
    </font>
    <font>
      <sz val="10"/>
      <color theme="1"/>
      <name val="LG Smart_H Regular"/>
      <family val="2"/>
    </font>
    <font>
      <sz val="10"/>
      <color rgb="FF000000"/>
      <name val="LG Smart_H Regular"/>
      <family val="2"/>
    </font>
    <font>
      <b/>
      <sz val="10"/>
      <color rgb="FF000000"/>
      <name val="LG Smart_H Regular"/>
    </font>
    <font>
      <sz val="10"/>
      <color rgb="FF000000"/>
      <name val="LG Smart_H Regular"/>
    </font>
  </fonts>
  <fills count="10">
    <fill>
      <patternFill patternType="none"/>
    </fill>
    <fill>
      <patternFill patternType="gray125"/>
    </fill>
    <fill>
      <patternFill patternType="solid">
        <fgColor rgb="FFF4F5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1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41" fontId="3" fillId="0" borderId="0" applyFont="0" applyFill="0" applyBorder="0" applyAlignment="0" applyProtection="0"/>
  </cellStyleXfs>
  <cellXfs count="146">
    <xf numFmtId="0" fontId="0" fillId="0" borderId="0" xfId="0"/>
    <xf numFmtId="0" fontId="6" fillId="7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readingOrder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9" fontId="9" fillId="3" borderId="1" xfId="0" applyNumberFormat="1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6" fillId="8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9" fontId="6" fillId="5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center" vertical="center" readingOrder="1"/>
    </xf>
    <xf numFmtId="0" fontId="9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readingOrder="1"/>
    </xf>
    <xf numFmtId="0" fontId="8" fillId="0" borderId="0" xfId="0" applyFont="1" applyAlignment="1">
      <alignment wrapText="1"/>
    </xf>
    <xf numFmtId="0" fontId="10" fillId="0" borderId="0" xfId="2" applyFont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4" fontId="9" fillId="0" borderId="0" xfId="0" applyNumberFormat="1" applyFont="1" applyAlignment="1">
      <alignment horizontal="left" vertical="center"/>
    </xf>
    <xf numFmtId="0" fontId="11" fillId="0" borderId="1" xfId="0" applyFont="1" applyBorder="1"/>
    <xf numFmtId="0" fontId="12" fillId="0" borderId="0" xfId="0" applyFont="1"/>
    <xf numFmtId="0" fontId="12" fillId="4" borderId="0" xfId="0" applyFont="1" applyFill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12" fillId="0" borderId="0" xfId="1" applyNumberFormat="1" applyFont="1" applyFill="1" applyAlignment="1">
      <alignment horizontal="center" vertical="center"/>
    </xf>
    <xf numFmtId="0" fontId="13" fillId="0" borderId="0" xfId="2" applyFont="1" applyAlignment="1">
      <alignment horizontal="left" vertical="center" wrapText="1" indent="1"/>
    </xf>
    <xf numFmtId="0" fontId="14" fillId="8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9" fontId="14" fillId="5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readingOrder="1"/>
    </xf>
    <xf numFmtId="0" fontId="16" fillId="0" borderId="1" xfId="0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 readingOrder="1"/>
    </xf>
    <xf numFmtId="0" fontId="16" fillId="0" borderId="1" xfId="0" quotePrefix="1" applyFont="1" applyBorder="1" applyAlignment="1">
      <alignment horizontal="center" vertical="center"/>
    </xf>
    <xf numFmtId="9" fontId="16" fillId="3" borderId="1" xfId="0" applyNumberFormat="1" applyFont="1" applyFill="1" applyBorder="1" applyAlignment="1">
      <alignment horizontal="center" vertical="center"/>
    </xf>
    <xf numFmtId="2" fontId="16" fillId="3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9" fontId="1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/>
    </xf>
    <xf numFmtId="9" fontId="16" fillId="3" borderId="1" xfId="0" applyNumberFormat="1" applyFont="1" applyFill="1" applyBorder="1" applyAlignment="1">
      <alignment horizontal="left" vertical="center"/>
    </xf>
    <xf numFmtId="9" fontId="11" fillId="0" borderId="1" xfId="0" applyNumberFormat="1" applyFont="1" applyBorder="1" applyAlignment="1">
      <alignment horizontal="left" vertical="center"/>
    </xf>
    <xf numFmtId="9" fontId="12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9" fontId="16" fillId="0" borderId="1" xfId="0" quotePrefix="1" applyNumberFormat="1" applyFont="1" applyBorder="1" applyAlignment="1">
      <alignment horizontal="center" vertical="center"/>
    </xf>
    <xf numFmtId="9" fontId="1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17" fontId="1" fillId="0" borderId="0" xfId="0" applyNumberFormat="1" applyFont="1" applyAlignment="1">
      <alignment horizontal="center" vertical="center"/>
    </xf>
    <xf numFmtId="17" fontId="1" fillId="0" borderId="0" xfId="0" applyNumberFormat="1" applyFont="1" applyAlignment="1">
      <alignment vertical="center" wrapText="1"/>
    </xf>
    <xf numFmtId="0" fontId="1" fillId="0" borderId="0" xfId="1" applyNumberFormat="1" applyFont="1" applyFill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17" fillId="0" borderId="1" xfId="0" applyFont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7" fillId="0" borderId="1" xfId="0" applyFont="1" applyBorder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17" fillId="9" borderId="2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readingOrder="1"/>
    </xf>
    <xf numFmtId="0" fontId="1" fillId="0" borderId="8" xfId="0" applyFont="1" applyBorder="1" applyAlignment="1">
      <alignment vertical="center"/>
    </xf>
    <xf numFmtId="9" fontId="9" fillId="3" borderId="2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 vertical="center" readingOrder="1"/>
    </xf>
    <xf numFmtId="0" fontId="9" fillId="0" borderId="4" xfId="0" applyFont="1" applyBorder="1" applyAlignment="1">
      <alignment horizontal="left" vertical="center" wrapText="1" readingOrder="1"/>
    </xf>
    <xf numFmtId="0" fontId="11" fillId="0" borderId="1" xfId="0" quotePrefix="1" applyFont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9" fontId="23" fillId="5" borderId="1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6" fillId="0" borderId="1" xfId="0" applyFont="1" applyBorder="1" applyAlignment="1">
      <alignment horizontal="left" vertical="center" readingOrder="1"/>
    </xf>
    <xf numFmtId="0" fontId="26" fillId="0" borderId="1" xfId="0" applyFont="1" applyBorder="1" applyAlignment="1">
      <alignment horizontal="left" vertical="center"/>
    </xf>
    <xf numFmtId="165" fontId="25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4" fontId="26" fillId="0" borderId="1" xfId="0" applyNumberFormat="1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9" fontId="26" fillId="3" borderId="1" xfId="0" applyNumberFormat="1" applyFont="1" applyFill="1" applyBorder="1" applyAlignment="1">
      <alignment horizontal="center" vertical="center"/>
    </xf>
    <xf numFmtId="2" fontId="26" fillId="3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 readingOrder="1"/>
    </xf>
    <xf numFmtId="0" fontId="17" fillId="9" borderId="2" xfId="0" applyFont="1" applyFill="1" applyBorder="1" applyAlignment="1">
      <alignment horizontal="left" vertical="center" wrapText="1"/>
    </xf>
    <xf numFmtId="0" fontId="17" fillId="9" borderId="6" xfId="0" applyFont="1" applyFill="1" applyBorder="1" applyAlignment="1">
      <alignment horizontal="left" vertical="center" wrapText="1"/>
    </xf>
    <xf numFmtId="0" fontId="17" fillId="9" borderId="3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7" fillId="9" borderId="1" xfId="0" applyFont="1" applyFill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</cellXfs>
  <cellStyles count="4">
    <cellStyle name="Comma [0]" xfId="1" builtinId="6"/>
    <cellStyle name="Comma [0] 2" xfId="3" xr:uid="{8B6F88F1-DA62-4DEB-97A4-FDB640D370B4}"/>
    <cellStyle name="Hyperlink" xfId="2" builtinId="8"/>
    <cellStyle name="Normal" xfId="0" builtinId="0"/>
  </cellStyles>
  <dxfs count="24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E77E"/>
      <color rgb="FFF779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1D83-DBFF-439A-ADE0-5B69257C5BF8}">
  <sheetPr codeName="Sheet1">
    <tabColor theme="8" tint="0.59999389629810485"/>
  </sheetPr>
  <dimension ref="A1:R18"/>
  <sheetViews>
    <sheetView topLeftCell="C9" zoomScaleNormal="100" workbookViewId="0">
      <selection activeCell="O12" sqref="O12"/>
    </sheetView>
  </sheetViews>
  <sheetFormatPr defaultColWidth="9.3046875" defaultRowHeight="16.75" x14ac:dyDescent="0.6"/>
  <cols>
    <col min="1" max="1" width="9.3828125" style="31" bestFit="1" customWidth="1"/>
    <col min="2" max="2" width="32.69140625" style="31" customWidth="1"/>
    <col min="3" max="3" width="20.3046875" style="33" customWidth="1"/>
    <col min="4" max="4" width="9.69140625" style="31" hidden="1" customWidth="1"/>
    <col min="5" max="5" width="8.69140625" style="31" hidden="1" customWidth="1"/>
    <col min="6" max="6" width="29" style="34" customWidth="1"/>
    <col min="7" max="7" width="14.53515625" style="31" customWidth="1"/>
    <col min="8" max="8" width="11.69140625" style="31" customWidth="1"/>
    <col min="9" max="9" width="10.15234375" style="32" bestFit="1" customWidth="1"/>
    <col min="10" max="10" width="22.69140625" style="33" customWidth="1"/>
    <col min="11" max="11" width="14.3046875" style="34" bestFit="1" customWidth="1"/>
    <col min="12" max="14" width="13.3828125" style="34" customWidth="1"/>
    <col min="15" max="15" width="15" style="34" bestFit="1" customWidth="1"/>
    <col min="16" max="16" width="7.3828125" style="34" bestFit="1" customWidth="1"/>
    <col min="17" max="17" width="14.69140625" style="34" bestFit="1" customWidth="1"/>
    <col min="18" max="18" width="101" style="31" customWidth="1"/>
    <col min="19" max="16384" width="9.3046875" style="31"/>
  </cols>
  <sheetData>
    <row r="1" spans="1:18" s="30" customFormat="1" ht="37.299999999999997" x14ac:dyDescent="0.6">
      <c r="A1" s="113" t="s">
        <v>0</v>
      </c>
      <c r="B1" s="113" t="s">
        <v>1</v>
      </c>
      <c r="C1" s="114" t="s">
        <v>2</v>
      </c>
      <c r="D1" s="115" t="s">
        <v>3</v>
      </c>
      <c r="E1" s="116" t="s">
        <v>4</v>
      </c>
      <c r="F1" s="117" t="s">
        <v>5</v>
      </c>
      <c r="G1" s="116" t="s">
        <v>6</v>
      </c>
      <c r="H1" s="118" t="s">
        <v>7</v>
      </c>
      <c r="I1" s="118" t="s">
        <v>8</v>
      </c>
      <c r="J1" s="118" t="s">
        <v>9</v>
      </c>
      <c r="K1" s="118" t="s">
        <v>10</v>
      </c>
      <c r="L1" s="118" t="s">
        <v>11</v>
      </c>
      <c r="M1" s="118" t="s">
        <v>12</v>
      </c>
      <c r="N1" s="118" t="s">
        <v>13</v>
      </c>
      <c r="O1" s="119" t="s">
        <v>14</v>
      </c>
      <c r="P1" s="119" t="s">
        <v>15</v>
      </c>
      <c r="Q1" s="120" t="s">
        <v>16</v>
      </c>
      <c r="R1" s="121" t="s">
        <v>17</v>
      </c>
    </row>
    <row r="2" spans="1:18" x14ac:dyDescent="0.6">
      <c r="A2" s="122"/>
      <c r="B2" s="123" t="s">
        <v>18</v>
      </c>
      <c r="C2" s="124" t="s">
        <v>19</v>
      </c>
      <c r="D2" s="125"/>
      <c r="E2" s="125"/>
      <c r="F2" s="126" t="s">
        <v>20</v>
      </c>
      <c r="G2" s="126" t="s">
        <v>21</v>
      </c>
      <c r="H2" s="126" t="s">
        <v>22</v>
      </c>
      <c r="I2" s="126" t="s">
        <v>23</v>
      </c>
      <c r="J2" s="127" t="s">
        <v>24</v>
      </c>
      <c r="K2" s="128">
        <v>10</v>
      </c>
      <c r="L2" s="128">
        <v>10</v>
      </c>
      <c r="M2" s="128">
        <v>21</v>
      </c>
      <c r="N2" s="128">
        <v>21</v>
      </c>
      <c r="O2" s="129">
        <f t="shared" ref="O2:Q3" si="0">L2/K2</f>
        <v>1</v>
      </c>
      <c r="P2" s="130">
        <f t="shared" si="0"/>
        <v>2.1</v>
      </c>
      <c r="Q2" s="129">
        <f t="shared" si="0"/>
        <v>1</v>
      </c>
      <c r="R2" s="122" t="s">
        <v>25</v>
      </c>
    </row>
    <row r="3" spans="1:18" x14ac:dyDescent="0.6">
      <c r="A3" s="122"/>
      <c r="B3" s="123" t="s">
        <v>18</v>
      </c>
      <c r="C3" s="124" t="s">
        <v>19</v>
      </c>
      <c r="D3" s="125"/>
      <c r="E3" s="125"/>
      <c r="F3" s="126" t="s">
        <v>20</v>
      </c>
      <c r="G3" s="126" t="s">
        <v>21</v>
      </c>
      <c r="H3" s="126" t="s">
        <v>22</v>
      </c>
      <c r="I3" s="126" t="s">
        <v>26</v>
      </c>
      <c r="J3" s="127" t="s">
        <v>27</v>
      </c>
      <c r="K3" s="128">
        <v>8</v>
      </c>
      <c r="L3" s="128">
        <v>8</v>
      </c>
      <c r="M3" s="128">
        <v>8</v>
      </c>
      <c r="N3" s="128">
        <v>8</v>
      </c>
      <c r="O3" s="129">
        <f t="shared" si="0"/>
        <v>1</v>
      </c>
      <c r="P3" s="130">
        <f t="shared" si="0"/>
        <v>1</v>
      </c>
      <c r="Q3" s="129">
        <f t="shared" si="0"/>
        <v>1</v>
      </c>
      <c r="R3" s="122" t="s">
        <v>28</v>
      </c>
    </row>
    <row r="4" spans="1:18" x14ac:dyDescent="0.6">
      <c r="A4" s="122"/>
      <c r="B4" s="123" t="s">
        <v>18</v>
      </c>
      <c r="C4" s="124" t="s">
        <v>19</v>
      </c>
      <c r="D4" s="125"/>
      <c r="E4" s="125"/>
      <c r="F4" s="126" t="s">
        <v>20</v>
      </c>
      <c r="G4" s="126" t="s">
        <v>21</v>
      </c>
      <c r="H4" s="126" t="s">
        <v>22</v>
      </c>
      <c r="I4" s="126" t="s">
        <v>29</v>
      </c>
      <c r="J4" s="127" t="s">
        <v>30</v>
      </c>
      <c r="K4" s="128">
        <v>20</v>
      </c>
      <c r="L4" s="128">
        <v>18</v>
      </c>
      <c r="M4" s="128">
        <v>12</v>
      </c>
      <c r="N4" s="128">
        <v>10</v>
      </c>
      <c r="O4" s="129">
        <f t="shared" ref="O4:O7" si="1">L4/K4</f>
        <v>0.9</v>
      </c>
      <c r="P4" s="130">
        <f t="shared" ref="P4:P7" si="2">M4/L4</f>
        <v>0.66666666666666663</v>
      </c>
      <c r="Q4" s="129">
        <f t="shared" ref="Q4:Q7" si="3">N4/M4</f>
        <v>0.83333333333333337</v>
      </c>
      <c r="R4" s="122" t="s">
        <v>31</v>
      </c>
    </row>
    <row r="5" spans="1:18" x14ac:dyDescent="0.6">
      <c r="A5" s="122"/>
      <c r="B5" s="123" t="s">
        <v>18</v>
      </c>
      <c r="C5" s="124" t="s">
        <v>19</v>
      </c>
      <c r="D5" s="125"/>
      <c r="E5" s="125"/>
      <c r="F5" s="126" t="s">
        <v>20</v>
      </c>
      <c r="G5" s="126" t="s">
        <v>21</v>
      </c>
      <c r="H5" s="126" t="s">
        <v>22</v>
      </c>
      <c r="I5" s="126" t="s">
        <v>32</v>
      </c>
      <c r="J5" s="127" t="s">
        <v>33</v>
      </c>
      <c r="K5" s="128">
        <v>20</v>
      </c>
      <c r="L5" s="128">
        <v>16</v>
      </c>
      <c r="M5" s="128">
        <v>22</v>
      </c>
      <c r="N5" s="128">
        <v>22</v>
      </c>
      <c r="O5" s="129">
        <f t="shared" ref="O5:O6" si="4">L5/K5</f>
        <v>0.8</v>
      </c>
      <c r="P5" s="130">
        <f t="shared" ref="P5:P6" si="5">M5/L5</f>
        <v>1.375</v>
      </c>
      <c r="Q5" s="129">
        <f t="shared" ref="Q5:Q6" si="6">N5/M5</f>
        <v>1</v>
      </c>
      <c r="R5" s="122" t="s">
        <v>34</v>
      </c>
    </row>
    <row r="6" spans="1:18" x14ac:dyDescent="0.6">
      <c r="A6" s="122"/>
      <c r="B6" s="123" t="s">
        <v>18</v>
      </c>
      <c r="C6" s="124" t="s">
        <v>19</v>
      </c>
      <c r="D6" s="125"/>
      <c r="E6" s="125"/>
      <c r="F6" s="126" t="s">
        <v>20</v>
      </c>
      <c r="G6" s="126" t="s">
        <v>21</v>
      </c>
      <c r="H6" s="126" t="s">
        <v>22</v>
      </c>
      <c r="I6" s="126" t="s">
        <v>35</v>
      </c>
      <c r="J6" s="127" t="s">
        <v>36</v>
      </c>
      <c r="K6" s="128">
        <v>27</v>
      </c>
      <c r="L6" s="128">
        <v>17</v>
      </c>
      <c r="M6" s="128">
        <v>28</v>
      </c>
      <c r="N6" s="128">
        <v>24</v>
      </c>
      <c r="O6" s="129">
        <f t="shared" si="4"/>
        <v>0.62962962962962965</v>
      </c>
      <c r="P6" s="130">
        <f t="shared" si="5"/>
        <v>1.6470588235294117</v>
      </c>
      <c r="Q6" s="129">
        <f t="shared" si="6"/>
        <v>0.8571428571428571</v>
      </c>
      <c r="R6" s="131" t="s">
        <v>37</v>
      </c>
    </row>
    <row r="7" spans="1:18" ht="24.9" x14ac:dyDescent="0.6">
      <c r="A7" s="122"/>
      <c r="B7" s="123" t="s">
        <v>18</v>
      </c>
      <c r="C7" s="124" t="s">
        <v>19</v>
      </c>
      <c r="D7" s="125"/>
      <c r="E7" s="125"/>
      <c r="F7" s="126" t="s">
        <v>20</v>
      </c>
      <c r="G7" s="126" t="s">
        <v>21</v>
      </c>
      <c r="H7" s="126" t="s">
        <v>22</v>
      </c>
      <c r="I7" s="126" t="s">
        <v>38</v>
      </c>
      <c r="J7" s="127" t="s">
        <v>36</v>
      </c>
      <c r="K7" s="128">
        <v>17</v>
      </c>
      <c r="L7" s="128">
        <v>17</v>
      </c>
      <c r="M7" s="128">
        <v>31</v>
      </c>
      <c r="N7" s="128">
        <v>31</v>
      </c>
      <c r="O7" s="129">
        <f t="shared" si="1"/>
        <v>1</v>
      </c>
      <c r="P7" s="130">
        <f t="shared" si="2"/>
        <v>1.8235294117647058</v>
      </c>
      <c r="Q7" s="129">
        <f t="shared" si="3"/>
        <v>1</v>
      </c>
      <c r="R7" s="131" t="s">
        <v>39</v>
      </c>
    </row>
    <row r="8" spans="1:18" s="32" customFormat="1" ht="74.599999999999994" x14ac:dyDescent="0.4">
      <c r="A8" s="128"/>
      <c r="B8" s="123" t="s">
        <v>40</v>
      </c>
      <c r="C8" s="124" t="s">
        <v>41</v>
      </c>
      <c r="D8" s="128"/>
      <c r="E8" s="128"/>
      <c r="F8" s="126" t="s">
        <v>42</v>
      </c>
      <c r="G8" s="126" t="s">
        <v>43</v>
      </c>
      <c r="H8" s="126" t="s">
        <v>22</v>
      </c>
      <c r="I8" s="128" t="s">
        <v>23</v>
      </c>
      <c r="J8" s="127" t="s">
        <v>44</v>
      </c>
      <c r="K8" s="128">
        <v>265</v>
      </c>
      <c r="L8" s="128">
        <v>265</v>
      </c>
      <c r="M8" s="128">
        <v>41</v>
      </c>
      <c r="N8" s="128">
        <v>41</v>
      </c>
      <c r="O8" s="129">
        <f t="shared" ref="O8:O9" si="7">L8/K8</f>
        <v>1</v>
      </c>
      <c r="P8" s="130">
        <f t="shared" ref="P8:P9" si="8">M8/L8</f>
        <v>0.15471698113207547</v>
      </c>
      <c r="Q8" s="129">
        <f t="shared" ref="Q8:Q9" si="9">N8/M8</f>
        <v>1</v>
      </c>
      <c r="R8" s="132" t="s">
        <v>45</v>
      </c>
    </row>
    <row r="9" spans="1:18" s="32" customFormat="1" ht="87" x14ac:dyDescent="0.4">
      <c r="A9" s="128"/>
      <c r="B9" s="123" t="s">
        <v>40</v>
      </c>
      <c r="C9" s="124" t="s">
        <v>41</v>
      </c>
      <c r="D9" s="128"/>
      <c r="E9" s="128"/>
      <c r="F9" s="126" t="s">
        <v>42</v>
      </c>
      <c r="G9" s="126" t="s">
        <v>43</v>
      </c>
      <c r="H9" s="126" t="s">
        <v>22</v>
      </c>
      <c r="I9" s="128" t="s">
        <v>26</v>
      </c>
      <c r="J9" s="127" t="s">
        <v>44</v>
      </c>
      <c r="K9" s="128">
        <v>855</v>
      </c>
      <c r="L9" s="128">
        <v>855</v>
      </c>
      <c r="M9" s="128">
        <v>28</v>
      </c>
      <c r="N9" s="128">
        <v>28</v>
      </c>
      <c r="O9" s="129">
        <f t="shared" si="7"/>
        <v>1</v>
      </c>
      <c r="P9" s="130">
        <f t="shared" si="8"/>
        <v>3.2748538011695909E-2</v>
      </c>
      <c r="Q9" s="129">
        <f t="shared" si="9"/>
        <v>1</v>
      </c>
      <c r="R9" s="132" t="s">
        <v>46</v>
      </c>
    </row>
    <row r="10" spans="1:18" s="32" customFormat="1" ht="62.15" x14ac:dyDescent="0.4">
      <c r="A10" s="128"/>
      <c r="B10" s="123" t="s">
        <v>40</v>
      </c>
      <c r="C10" s="124" t="s">
        <v>41</v>
      </c>
      <c r="D10" s="128"/>
      <c r="E10" s="128"/>
      <c r="F10" s="126" t="s">
        <v>42</v>
      </c>
      <c r="G10" s="126" t="s">
        <v>43</v>
      </c>
      <c r="H10" s="126" t="s">
        <v>22</v>
      </c>
      <c r="I10" s="128" t="s">
        <v>29</v>
      </c>
      <c r="J10" s="127" t="s">
        <v>47</v>
      </c>
      <c r="K10" s="128">
        <v>730</v>
      </c>
      <c r="L10" s="128">
        <v>730</v>
      </c>
      <c r="M10" s="128">
        <v>1</v>
      </c>
      <c r="N10" s="128">
        <v>1</v>
      </c>
      <c r="O10" s="129">
        <f t="shared" ref="O10" si="10">L10/K10</f>
        <v>1</v>
      </c>
      <c r="P10" s="130">
        <f t="shared" ref="P10" si="11">M10/L10</f>
        <v>1.3698630136986301E-3</v>
      </c>
      <c r="Q10" s="129">
        <f t="shared" ref="Q10" si="12">N10/M10</f>
        <v>1</v>
      </c>
      <c r="R10" s="132" t="s">
        <v>48</v>
      </c>
    </row>
    <row r="11" spans="1:18" s="32" customFormat="1" ht="93.75" customHeight="1" x14ac:dyDescent="0.4">
      <c r="A11" s="128"/>
      <c r="B11" s="123" t="s">
        <v>49</v>
      </c>
      <c r="C11" s="124" t="s">
        <v>50</v>
      </c>
      <c r="D11" s="128"/>
      <c r="E11" s="128"/>
      <c r="F11" s="126" t="s">
        <v>51</v>
      </c>
      <c r="G11" s="126"/>
      <c r="H11" s="126" t="s">
        <v>22</v>
      </c>
      <c r="I11" s="128" t="s">
        <v>23</v>
      </c>
      <c r="J11" s="127" t="s">
        <v>52</v>
      </c>
      <c r="K11" s="128">
        <v>215</v>
      </c>
      <c r="L11" s="128">
        <v>241</v>
      </c>
      <c r="M11" s="128">
        <v>0</v>
      </c>
      <c r="N11" s="128">
        <v>0</v>
      </c>
      <c r="O11" s="129">
        <f t="shared" ref="O11" si="13">L11/K11</f>
        <v>1.1209302325581396</v>
      </c>
      <c r="P11" s="130">
        <f t="shared" ref="P11" si="14">M11/L11</f>
        <v>0</v>
      </c>
      <c r="Q11" s="129" t="e">
        <f t="shared" ref="Q11" si="15">N11/M11</f>
        <v>#DIV/0!</v>
      </c>
      <c r="R11" s="133" t="s">
        <v>53</v>
      </c>
    </row>
    <row r="12" spans="1:18" ht="207" customHeight="1" x14ac:dyDescent="0.6">
      <c r="A12" s="128"/>
      <c r="B12" s="123" t="s">
        <v>49</v>
      </c>
      <c r="C12" s="124" t="s">
        <v>50</v>
      </c>
      <c r="D12" s="128"/>
      <c r="E12" s="128"/>
      <c r="F12" s="126" t="s">
        <v>51</v>
      </c>
      <c r="G12" s="126"/>
      <c r="H12" s="126" t="s">
        <v>22</v>
      </c>
      <c r="I12" s="128" t="s">
        <v>26</v>
      </c>
      <c r="J12" s="127" t="s">
        <v>54</v>
      </c>
      <c r="K12" s="128">
        <v>366</v>
      </c>
      <c r="L12" s="128">
        <v>365</v>
      </c>
      <c r="M12" s="128">
        <v>0</v>
      </c>
      <c r="N12" s="128">
        <v>0</v>
      </c>
      <c r="O12" s="129">
        <f t="shared" ref="O12" si="16">L12/K12</f>
        <v>0.99726775956284153</v>
      </c>
      <c r="P12" s="130">
        <f t="shared" ref="P12" si="17">M12/L12</f>
        <v>0</v>
      </c>
      <c r="Q12" s="129" t="e">
        <f t="shared" ref="Q12" si="18">N12/M12</f>
        <v>#DIV/0!</v>
      </c>
      <c r="R12" s="134" t="s">
        <v>55</v>
      </c>
    </row>
    <row r="13" spans="1:18" x14ac:dyDescent="0.6">
      <c r="A13" s="80"/>
      <c r="B13" s="80"/>
      <c r="C13" s="81"/>
      <c r="D13" s="80"/>
      <c r="E13" s="80"/>
      <c r="F13" s="82"/>
      <c r="G13" s="80"/>
      <c r="H13" s="80"/>
      <c r="I13" s="83"/>
      <c r="J13" s="35"/>
      <c r="K13" s="82"/>
      <c r="L13" s="82"/>
      <c r="M13" s="82"/>
      <c r="N13" s="82"/>
      <c r="O13" s="82"/>
      <c r="P13" s="82"/>
      <c r="Q13" s="82"/>
      <c r="R13" s="80"/>
    </row>
    <row r="14" spans="1:18" x14ac:dyDescent="0.6">
      <c r="A14" s="80"/>
      <c r="B14" s="80"/>
      <c r="C14" s="81"/>
      <c r="D14" s="80"/>
      <c r="E14" s="80"/>
      <c r="F14" s="82"/>
      <c r="G14" s="80"/>
      <c r="H14" s="80"/>
      <c r="I14" s="83"/>
      <c r="J14" s="127"/>
      <c r="K14" s="82"/>
      <c r="L14" s="82"/>
      <c r="M14" s="82"/>
      <c r="N14" s="82"/>
      <c r="O14" s="82"/>
      <c r="P14" s="82"/>
      <c r="Q14" s="82"/>
      <c r="R14" s="80"/>
    </row>
    <row r="15" spans="1:18" x14ac:dyDescent="0.6">
      <c r="A15" s="80"/>
      <c r="B15" s="80"/>
      <c r="C15" s="81"/>
      <c r="D15" s="80"/>
      <c r="E15" s="80"/>
      <c r="F15" s="82"/>
      <c r="G15" s="80"/>
      <c r="H15" s="80"/>
      <c r="I15" s="83"/>
      <c r="J15" s="35"/>
      <c r="K15" s="82"/>
      <c r="L15" s="82"/>
      <c r="M15" s="82"/>
      <c r="N15" s="82"/>
      <c r="O15" s="82"/>
      <c r="P15" s="82"/>
      <c r="Q15" s="82"/>
      <c r="R15" s="80"/>
    </row>
    <row r="16" spans="1:18" x14ac:dyDescent="0.6">
      <c r="A16" s="80"/>
      <c r="B16" s="80"/>
      <c r="C16" s="81"/>
      <c r="D16" s="80"/>
      <c r="E16" s="80"/>
      <c r="F16" s="82"/>
      <c r="G16" s="80"/>
      <c r="H16" s="80"/>
      <c r="I16" s="83"/>
      <c r="J16" s="35"/>
      <c r="K16" s="82"/>
      <c r="L16" s="82"/>
      <c r="M16" s="82"/>
      <c r="N16" s="82"/>
      <c r="O16" s="82"/>
      <c r="P16" s="82"/>
      <c r="Q16" s="82"/>
      <c r="R16" s="80"/>
    </row>
    <row r="17" spans="6:10" x14ac:dyDescent="0.6">
      <c r="F17" s="82"/>
      <c r="G17" s="80"/>
      <c r="H17" s="80"/>
      <c r="I17" s="83"/>
      <c r="J17" s="35"/>
    </row>
    <row r="18" spans="6:10" x14ac:dyDescent="0.6">
      <c r="F18" s="82"/>
      <c r="G18" s="80"/>
      <c r="H18" s="80"/>
      <c r="I18" s="83"/>
      <c r="J18" s="35"/>
    </row>
  </sheetData>
  <phoneticPr fontId="5" type="noConversion"/>
  <conditionalFormatting sqref="A1">
    <cfRule type="duplicateValues" dxfId="23" priority="12"/>
  </conditionalFormatting>
  <conditionalFormatting sqref="D2:E4">
    <cfRule type="expression" priority="168">
      <formula>MOD(D794:D1048376,2)&gt;0</formula>
    </cfRule>
  </conditionalFormatting>
  <conditionalFormatting sqref="D2:E7">
    <cfRule type="expression" dxfId="22" priority="3">
      <formula xml:space="preserve"> MOD(D:D/2,1)&gt;0</formula>
    </cfRule>
  </conditionalFormatting>
  <conditionalFormatting sqref="D5:E5">
    <cfRule type="expression" priority="171">
      <formula>MOD(D796:D1048378,2)&gt;0</formula>
    </cfRule>
  </conditionalFormatting>
  <conditionalFormatting sqref="D6:E7">
    <cfRule type="expression" priority="1">
      <formula>MOD(D796:D1048378,2)&gt;0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5245-E9C4-45F6-A421-54FD8899A3DB}">
  <sheetPr codeName="Sheet2">
    <tabColor theme="9" tint="0.59999389629810485"/>
  </sheetPr>
  <dimension ref="A1:Q25"/>
  <sheetViews>
    <sheetView topLeftCell="B1" workbookViewId="0">
      <pane xSplit="3" ySplit="1" topLeftCell="G2" activePane="bottomRight" state="frozen"/>
      <selection pane="topRight" activeCell="G15" sqref="G15"/>
      <selection pane="bottomLeft" activeCell="G15" sqref="G15"/>
      <selection pane="bottomRight" activeCell="G6" sqref="G6"/>
    </sheetView>
  </sheetViews>
  <sheetFormatPr defaultColWidth="9.15234375" defaultRowHeight="16.75" x14ac:dyDescent="0.6"/>
  <cols>
    <col min="1" max="1" width="9.15234375" style="8"/>
    <col min="2" max="2" width="14.3046875" style="8" bestFit="1" customWidth="1"/>
    <col min="3" max="3" width="43.53515625" style="19" bestFit="1" customWidth="1"/>
    <col min="4" max="4" width="19.15234375" style="19" customWidth="1"/>
    <col min="5" max="5" width="14.15234375" style="20" hidden="1" customWidth="1"/>
    <col min="6" max="6" width="13.3828125" style="20" hidden="1" customWidth="1"/>
    <col min="7" max="7" width="39.3046875" style="21" customWidth="1"/>
    <col min="8" max="8" width="19.69140625" style="22" customWidth="1"/>
    <col min="9" max="9" width="16.53515625" style="22" customWidth="1"/>
    <col min="10" max="10" width="19.3828125" style="22" bestFit="1" customWidth="1"/>
    <col min="11" max="11" width="25.15234375" style="22" bestFit="1" customWidth="1"/>
    <col min="12" max="12" width="11.3828125" style="22" bestFit="1" customWidth="1"/>
    <col min="13" max="13" width="16.3828125" style="22" bestFit="1" customWidth="1"/>
    <col min="14" max="14" width="28.53515625" style="22" bestFit="1" customWidth="1"/>
    <col min="15" max="15" width="18.84375" style="22" bestFit="1" customWidth="1"/>
    <col min="16" max="16" width="26.3828125" style="23" bestFit="1" customWidth="1"/>
    <col min="17" max="17" width="73.53515625" style="24" bestFit="1" customWidth="1"/>
    <col min="18" max="16384" width="9.15234375" style="8"/>
  </cols>
  <sheetData>
    <row r="1" spans="1:17" x14ac:dyDescent="0.6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56</v>
      </c>
      <c r="O1" s="13" t="s">
        <v>57</v>
      </c>
      <c r="P1" s="14" t="s">
        <v>58</v>
      </c>
      <c r="Q1" s="15" t="s">
        <v>17</v>
      </c>
    </row>
    <row r="2" spans="1:17" x14ac:dyDescent="0.6">
      <c r="A2" s="80"/>
      <c r="B2" s="5"/>
      <c r="C2" s="3" t="s">
        <v>59</v>
      </c>
      <c r="D2" s="4" t="s">
        <v>60</v>
      </c>
      <c r="E2" s="78">
        <v>45658</v>
      </c>
      <c r="F2" s="78">
        <v>45900</v>
      </c>
      <c r="G2" s="4" t="s">
        <v>61</v>
      </c>
      <c r="H2" s="16">
        <v>3</v>
      </c>
      <c r="I2" s="17" t="s">
        <v>62</v>
      </c>
      <c r="J2" s="17">
        <v>8</v>
      </c>
      <c r="K2" s="17">
        <v>7</v>
      </c>
      <c r="L2" s="17">
        <v>0</v>
      </c>
      <c r="M2" s="17">
        <v>0</v>
      </c>
      <c r="N2" s="6">
        <f t="shared" ref="N2:P4" si="0">K2/J2</f>
        <v>0.875</v>
      </c>
      <c r="O2" s="7">
        <f t="shared" si="0"/>
        <v>0</v>
      </c>
      <c r="P2" s="6" t="e">
        <f>M2/L2</f>
        <v>#DIV/0!</v>
      </c>
      <c r="Q2" s="18" t="s">
        <v>63</v>
      </c>
    </row>
    <row r="3" spans="1:17" x14ac:dyDescent="0.6">
      <c r="A3" s="84"/>
      <c r="B3" s="5"/>
      <c r="C3" s="3" t="s">
        <v>64</v>
      </c>
      <c r="D3" s="4" t="s">
        <v>41</v>
      </c>
      <c r="E3" s="78">
        <v>45658</v>
      </c>
      <c r="F3" s="78">
        <v>45838</v>
      </c>
      <c r="G3" s="4" t="s">
        <v>65</v>
      </c>
      <c r="H3" s="16">
        <v>39</v>
      </c>
      <c r="I3" s="17" t="s">
        <v>62</v>
      </c>
      <c r="J3" s="5">
        <v>2</v>
      </c>
      <c r="K3" s="5">
        <v>2</v>
      </c>
      <c r="L3" s="5">
        <v>0</v>
      </c>
      <c r="M3" s="5">
        <v>0</v>
      </c>
      <c r="N3" s="6">
        <f t="shared" si="0"/>
        <v>1</v>
      </c>
      <c r="O3" s="7">
        <f t="shared" si="0"/>
        <v>0</v>
      </c>
      <c r="P3" s="6" t="e">
        <f t="shared" si="0"/>
        <v>#DIV/0!</v>
      </c>
      <c r="Q3" s="18" t="s">
        <v>66</v>
      </c>
    </row>
    <row r="4" spans="1:17" x14ac:dyDescent="0.6">
      <c r="A4" s="80"/>
      <c r="B4" s="5"/>
      <c r="C4" s="3" t="s">
        <v>67</v>
      </c>
      <c r="D4" s="4" t="s">
        <v>41</v>
      </c>
      <c r="E4" s="78">
        <v>45658</v>
      </c>
      <c r="F4" s="78">
        <v>46022</v>
      </c>
      <c r="G4" s="4" t="s">
        <v>42</v>
      </c>
      <c r="H4" s="16">
        <v>16</v>
      </c>
      <c r="I4" s="17" t="s">
        <v>62</v>
      </c>
      <c r="J4" s="5">
        <v>14</v>
      </c>
      <c r="K4" s="5">
        <v>14</v>
      </c>
      <c r="L4" s="5">
        <v>0</v>
      </c>
      <c r="M4" s="5">
        <v>0</v>
      </c>
      <c r="N4" s="6">
        <f t="shared" si="0"/>
        <v>1</v>
      </c>
      <c r="O4" s="7">
        <f t="shared" si="0"/>
        <v>0</v>
      </c>
      <c r="P4" s="6" t="e">
        <f t="shared" si="0"/>
        <v>#DIV/0!</v>
      </c>
      <c r="Q4" s="18" t="s">
        <v>68</v>
      </c>
    </row>
    <row r="5" spans="1:17" x14ac:dyDescent="0.6">
      <c r="A5" s="80"/>
      <c r="B5" s="80"/>
      <c r="C5" s="81"/>
      <c r="D5" s="81"/>
      <c r="E5" s="82"/>
      <c r="F5" s="82"/>
      <c r="G5" s="85"/>
      <c r="H5" s="83"/>
      <c r="I5" s="83"/>
      <c r="J5" s="83"/>
      <c r="K5" s="83"/>
      <c r="L5" s="86"/>
      <c r="M5" s="83"/>
      <c r="N5" s="83"/>
      <c r="O5" s="83"/>
      <c r="P5" s="87"/>
      <c r="Q5" s="88"/>
    </row>
    <row r="6" spans="1:17" x14ac:dyDescent="0.6">
      <c r="A6" s="80"/>
      <c r="B6" s="80"/>
      <c r="C6" s="81"/>
      <c r="D6" s="81"/>
      <c r="E6" s="82"/>
      <c r="F6" s="82"/>
      <c r="G6" s="85"/>
      <c r="H6" s="83"/>
      <c r="I6" s="83"/>
      <c r="J6" s="83"/>
      <c r="K6" s="83"/>
      <c r="L6" s="86"/>
      <c r="M6" s="83"/>
      <c r="N6" s="83"/>
      <c r="O6" s="83"/>
      <c r="P6" s="87"/>
      <c r="Q6" s="88"/>
    </row>
    <row r="7" spans="1:17" x14ac:dyDescent="0.6">
      <c r="A7" s="80"/>
      <c r="B7" s="80"/>
      <c r="C7" s="81"/>
      <c r="D7" s="81"/>
      <c r="E7" s="82"/>
      <c r="F7" s="82"/>
      <c r="G7" s="85"/>
      <c r="H7" s="83"/>
      <c r="I7" s="83"/>
      <c r="J7" s="83"/>
      <c r="K7" s="83"/>
      <c r="L7" s="86"/>
      <c r="M7" s="83"/>
      <c r="N7" s="83"/>
      <c r="O7" s="83"/>
      <c r="P7" s="87"/>
      <c r="Q7" s="88"/>
    </row>
    <row r="8" spans="1:17" x14ac:dyDescent="0.6">
      <c r="A8" s="80"/>
      <c r="B8" s="80"/>
      <c r="C8" s="81"/>
      <c r="D8" s="81"/>
      <c r="E8" s="82"/>
      <c r="F8" s="82"/>
      <c r="G8" s="85"/>
      <c r="H8" s="83"/>
      <c r="I8" s="83"/>
      <c r="J8" s="83"/>
      <c r="K8" s="83"/>
      <c r="L8" s="86"/>
      <c r="M8" s="83"/>
      <c r="N8" s="83"/>
      <c r="O8" s="83"/>
      <c r="P8" s="87"/>
      <c r="Q8" s="88"/>
    </row>
    <row r="9" spans="1:17" x14ac:dyDescent="0.6">
      <c r="A9" s="80"/>
      <c r="B9" s="80"/>
      <c r="C9" s="81"/>
      <c r="D9" s="81"/>
      <c r="E9" s="82"/>
      <c r="F9" s="82"/>
      <c r="G9" s="85"/>
      <c r="H9" s="83"/>
      <c r="I9" s="83"/>
      <c r="J9" s="83"/>
      <c r="K9" s="83"/>
      <c r="L9" s="86"/>
      <c r="M9" s="83"/>
      <c r="N9" s="83"/>
      <c r="O9" s="83"/>
      <c r="P9" s="87"/>
      <c r="Q9" s="88"/>
    </row>
    <row r="10" spans="1:17" x14ac:dyDescent="0.6">
      <c r="A10" s="80"/>
      <c r="B10" s="80"/>
      <c r="C10" s="81"/>
      <c r="D10" s="81"/>
      <c r="E10" s="82"/>
      <c r="F10" s="82"/>
      <c r="G10" s="85"/>
      <c r="H10" s="83"/>
      <c r="I10" s="83"/>
      <c r="J10" s="83"/>
      <c r="K10" s="83"/>
      <c r="L10" s="83"/>
      <c r="M10" s="86"/>
      <c r="N10" s="83"/>
      <c r="O10" s="83"/>
      <c r="P10" s="83"/>
      <c r="Q10" s="88"/>
    </row>
    <row r="11" spans="1:17" x14ac:dyDescent="0.6">
      <c r="A11" s="80"/>
      <c r="B11" s="80"/>
      <c r="C11" s="81"/>
      <c r="D11" s="81"/>
      <c r="E11" s="82"/>
      <c r="F11" s="82"/>
      <c r="G11" s="85"/>
      <c r="H11" s="83"/>
      <c r="I11" s="83"/>
      <c r="J11" s="83"/>
      <c r="K11" s="83"/>
      <c r="L11" s="83"/>
      <c r="M11" s="86"/>
      <c r="N11" s="83"/>
      <c r="O11" s="83"/>
      <c r="P11" s="83"/>
      <c r="Q11" s="88"/>
    </row>
    <row r="12" spans="1:17" x14ac:dyDescent="0.6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83"/>
      <c r="L12" s="83"/>
      <c r="M12" s="83"/>
      <c r="N12" s="83"/>
      <c r="O12" s="83"/>
      <c r="P12" s="83"/>
      <c r="Q12" s="88"/>
    </row>
    <row r="13" spans="1:17" x14ac:dyDescent="0.6">
      <c r="A13" s="80"/>
      <c r="B13" s="80"/>
      <c r="C13" s="81"/>
      <c r="D13" s="81"/>
      <c r="E13" s="82"/>
      <c r="F13" s="82"/>
      <c r="G13" s="85"/>
      <c r="H13" s="83"/>
      <c r="I13" s="83"/>
      <c r="J13" s="83"/>
      <c r="K13" s="83"/>
      <c r="L13" s="83"/>
      <c r="M13" s="86"/>
      <c r="N13" s="83"/>
      <c r="O13" s="83"/>
      <c r="P13" s="83"/>
      <c r="Q13" s="88"/>
    </row>
    <row r="14" spans="1:17" x14ac:dyDescent="0.6">
      <c r="A14" s="80"/>
      <c r="B14" s="80"/>
      <c r="C14" s="81"/>
      <c r="D14" s="81"/>
      <c r="E14" s="82"/>
      <c r="F14" s="82"/>
      <c r="G14" s="85"/>
      <c r="H14" s="83"/>
      <c r="I14" s="83"/>
      <c r="J14" s="83"/>
      <c r="K14" s="83"/>
      <c r="L14" s="86"/>
      <c r="M14" s="83"/>
      <c r="N14" s="83"/>
      <c r="O14" s="83"/>
      <c r="P14" s="83"/>
      <c r="Q14" s="88"/>
    </row>
    <row r="15" spans="1:17" x14ac:dyDescent="0.6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3"/>
      <c r="L15" s="86"/>
      <c r="M15" s="83"/>
      <c r="N15" s="83"/>
      <c r="O15" s="83"/>
      <c r="P15" s="83"/>
      <c r="Q15" s="88"/>
    </row>
    <row r="16" spans="1:17" x14ac:dyDescent="0.6">
      <c r="A16" s="80"/>
      <c r="B16" s="80"/>
      <c r="C16" s="81"/>
      <c r="D16" s="81"/>
      <c r="E16" s="82"/>
      <c r="F16" s="82"/>
      <c r="G16" s="85"/>
      <c r="H16" s="83"/>
      <c r="I16" s="83"/>
      <c r="J16" s="83"/>
      <c r="K16" s="83"/>
      <c r="L16" s="86"/>
      <c r="M16" s="83"/>
      <c r="N16" s="83"/>
      <c r="O16" s="83"/>
      <c r="P16" s="87"/>
      <c r="Q16" s="88"/>
    </row>
    <row r="17" spans="12:12" x14ac:dyDescent="0.6">
      <c r="L17" s="86"/>
    </row>
    <row r="18" spans="12:12" x14ac:dyDescent="0.6">
      <c r="L18" s="86"/>
    </row>
    <row r="19" spans="12:12" x14ac:dyDescent="0.6">
      <c r="L19" s="86"/>
    </row>
    <row r="20" spans="12:12" x14ac:dyDescent="0.6">
      <c r="L20" s="86"/>
    </row>
    <row r="21" spans="12:12" x14ac:dyDescent="0.6">
      <c r="L21" s="86"/>
    </row>
    <row r="22" spans="12:12" x14ac:dyDescent="0.6">
      <c r="L22" s="86"/>
    </row>
    <row r="23" spans="12:12" x14ac:dyDescent="0.6">
      <c r="L23" s="86"/>
    </row>
    <row r="24" spans="12:12" x14ac:dyDescent="0.6">
      <c r="L24" s="86"/>
    </row>
    <row r="25" spans="12:12" x14ac:dyDescent="0.6">
      <c r="L25" s="86"/>
    </row>
  </sheetData>
  <autoFilter ref="A1:Q1" xr:uid="{A0499EC0-9336-4A43-84AD-C0713E773EA7}"/>
  <conditionalFormatting sqref="B1:B1048576">
    <cfRule type="duplicateValues" dxfId="21" priority="6"/>
  </conditionalFormatting>
  <conditionalFormatting sqref="E2:F2">
    <cfRule type="expression" priority="109">
      <formula>MOD(E801:E1048383,2)&gt;0</formula>
    </cfRule>
  </conditionalFormatting>
  <conditionalFormatting sqref="E2:F4">
    <cfRule type="expression" dxfId="20" priority="11">
      <formula xml:space="preserve"> MOD(E:E/2,1)&gt;0</formula>
    </cfRule>
  </conditionalFormatting>
  <conditionalFormatting sqref="E3:F3">
    <cfRule type="expression" priority="120">
      <formula>MOD(E804:E1048386,2)&gt;0</formula>
    </cfRule>
  </conditionalFormatting>
  <conditionalFormatting sqref="E4:F4">
    <cfRule type="expression" priority="9">
      <formula>MOD(E807:E1048389,2)&gt;0</formula>
    </cfRule>
    <cfRule type="expression" priority="10">
      <formula>MOD(E806:E1048388,2)&gt;0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73F2-D0CE-4AC4-ACE0-06614F8B7EA7}">
  <sheetPr codeName="Sheet3">
    <tabColor theme="9" tint="0.59999389629810485"/>
  </sheetPr>
  <dimension ref="A1:Q26"/>
  <sheetViews>
    <sheetView topLeftCell="B1" zoomScaleNormal="100" workbookViewId="0">
      <pane xSplit="3" ySplit="1" topLeftCell="G2" activePane="bottomRight" state="frozen"/>
      <selection pane="topRight" activeCell="C25" sqref="C25"/>
      <selection pane="bottomLeft" activeCell="C25" sqref="C25"/>
      <selection pane="bottomRight" activeCell="G14" sqref="G14"/>
    </sheetView>
  </sheetViews>
  <sheetFormatPr defaultColWidth="9.15234375" defaultRowHeight="16.75" x14ac:dyDescent="0.6"/>
  <cols>
    <col min="1" max="1" width="9.15234375" style="8"/>
    <col min="2" max="2" width="14.3046875" style="8" bestFit="1" customWidth="1"/>
    <col min="3" max="3" width="43.53515625" style="19" bestFit="1" customWidth="1"/>
    <col min="4" max="4" width="19.15234375" style="19" customWidth="1"/>
    <col min="5" max="5" width="14.15234375" style="20" hidden="1" customWidth="1"/>
    <col min="6" max="6" width="13.3828125" style="20" hidden="1" customWidth="1"/>
    <col min="7" max="7" width="39.3046875" style="21" customWidth="1"/>
    <col min="8" max="8" width="19.69140625" style="22" customWidth="1"/>
    <col min="9" max="9" width="16.53515625" style="22" customWidth="1"/>
    <col min="10" max="10" width="19.3828125" style="22" bestFit="1" customWidth="1"/>
    <col min="11" max="11" width="25.15234375" style="22" bestFit="1" customWidth="1"/>
    <col min="12" max="12" width="11.3828125" style="22" bestFit="1" customWidth="1"/>
    <col min="13" max="13" width="16.3828125" style="22" bestFit="1" customWidth="1"/>
    <col min="14" max="14" width="28.53515625" style="22" bestFit="1" customWidth="1"/>
    <col min="15" max="15" width="18.84375" style="22" bestFit="1" customWidth="1"/>
    <col min="16" max="16" width="26.3828125" style="23" bestFit="1" customWidth="1"/>
    <col min="17" max="17" width="82.15234375" style="27" customWidth="1"/>
    <col min="18" max="16384" width="9.15234375" style="8"/>
  </cols>
  <sheetData>
    <row r="1" spans="1:17" x14ac:dyDescent="0.6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56</v>
      </c>
      <c r="O1" s="13" t="s">
        <v>57</v>
      </c>
      <c r="P1" s="14" t="s">
        <v>58</v>
      </c>
      <c r="Q1" s="2" t="s">
        <v>17</v>
      </c>
    </row>
    <row r="2" spans="1:17" x14ac:dyDescent="0.6">
      <c r="A2" s="80"/>
      <c r="B2" s="5"/>
      <c r="C2" s="3" t="s">
        <v>59</v>
      </c>
      <c r="D2" s="4" t="s">
        <v>60</v>
      </c>
      <c r="E2" s="78">
        <v>45658</v>
      </c>
      <c r="F2" s="78">
        <v>45900</v>
      </c>
      <c r="G2" s="4" t="s">
        <v>61</v>
      </c>
      <c r="H2" s="16">
        <v>3</v>
      </c>
      <c r="I2" s="17" t="s">
        <v>62</v>
      </c>
      <c r="J2" s="17">
        <v>8</v>
      </c>
      <c r="K2" s="17">
        <v>7</v>
      </c>
      <c r="L2" s="17">
        <v>0</v>
      </c>
      <c r="M2" s="17">
        <v>0</v>
      </c>
      <c r="N2" s="6">
        <f t="shared" ref="N2:P5" si="0">K2/J2</f>
        <v>0.875</v>
      </c>
      <c r="O2" s="7">
        <f t="shared" si="0"/>
        <v>0</v>
      </c>
      <c r="P2" s="6" t="e">
        <f>M2/L2</f>
        <v>#DIV/0!</v>
      </c>
      <c r="Q2" s="89" t="s">
        <v>69</v>
      </c>
    </row>
    <row r="3" spans="1:17" x14ac:dyDescent="0.6">
      <c r="A3" s="80"/>
      <c r="B3" s="5"/>
      <c r="C3" s="3" t="s">
        <v>70</v>
      </c>
      <c r="D3" s="4" t="s">
        <v>41</v>
      </c>
      <c r="E3" s="78">
        <v>45658</v>
      </c>
      <c r="F3" s="78">
        <v>46022</v>
      </c>
      <c r="G3" s="4" t="s">
        <v>71</v>
      </c>
      <c r="H3" s="16">
        <v>11</v>
      </c>
      <c r="I3" s="17" t="s">
        <v>62</v>
      </c>
      <c r="J3" s="5">
        <v>3</v>
      </c>
      <c r="K3" s="5">
        <v>3</v>
      </c>
      <c r="L3" s="5">
        <v>0</v>
      </c>
      <c r="M3" s="5">
        <v>0</v>
      </c>
      <c r="N3" s="6">
        <f t="shared" si="0"/>
        <v>1</v>
      </c>
      <c r="O3" s="7">
        <f t="shared" si="0"/>
        <v>0</v>
      </c>
      <c r="P3" s="6" t="e">
        <f t="shared" si="0"/>
        <v>#DIV/0!</v>
      </c>
      <c r="Q3" s="89" t="s">
        <v>72</v>
      </c>
    </row>
    <row r="4" spans="1:17" x14ac:dyDescent="0.6">
      <c r="A4" s="84"/>
      <c r="B4" s="5"/>
      <c r="C4" s="3" t="s">
        <v>64</v>
      </c>
      <c r="D4" s="4" t="s">
        <v>41</v>
      </c>
      <c r="E4" s="78">
        <v>45658</v>
      </c>
      <c r="F4" s="78">
        <v>45838</v>
      </c>
      <c r="G4" s="4" t="s">
        <v>65</v>
      </c>
      <c r="H4" s="16">
        <v>39</v>
      </c>
      <c r="I4" s="17" t="s">
        <v>62</v>
      </c>
      <c r="J4" s="5">
        <v>8</v>
      </c>
      <c r="K4" s="5">
        <v>8</v>
      </c>
      <c r="L4" s="5">
        <v>0</v>
      </c>
      <c r="M4" s="5">
        <v>0</v>
      </c>
      <c r="N4" s="6">
        <f t="shared" si="0"/>
        <v>1</v>
      </c>
      <c r="O4" s="7">
        <f t="shared" si="0"/>
        <v>0</v>
      </c>
      <c r="P4" s="6" t="e">
        <f t="shared" si="0"/>
        <v>#DIV/0!</v>
      </c>
      <c r="Q4" s="3" t="s">
        <v>73</v>
      </c>
    </row>
    <row r="5" spans="1:17" x14ac:dyDescent="0.6">
      <c r="A5" s="80"/>
      <c r="B5" s="5"/>
      <c r="C5" s="3" t="s">
        <v>67</v>
      </c>
      <c r="D5" s="4" t="s">
        <v>41</v>
      </c>
      <c r="E5" s="78">
        <v>45658</v>
      </c>
      <c r="F5" s="78">
        <v>46022</v>
      </c>
      <c r="G5" s="4" t="s">
        <v>42</v>
      </c>
      <c r="H5" s="16">
        <v>16</v>
      </c>
      <c r="I5" s="17" t="s">
        <v>62</v>
      </c>
      <c r="J5" s="5">
        <v>14</v>
      </c>
      <c r="K5" s="5">
        <v>14</v>
      </c>
      <c r="L5" s="5">
        <v>0</v>
      </c>
      <c r="M5" s="5">
        <v>0</v>
      </c>
      <c r="N5" s="6">
        <f t="shared" si="0"/>
        <v>1</v>
      </c>
      <c r="O5" s="7">
        <f t="shared" si="0"/>
        <v>0</v>
      </c>
      <c r="P5" s="6" t="e">
        <f t="shared" si="0"/>
        <v>#DIV/0!</v>
      </c>
      <c r="Q5" s="26" t="s">
        <v>74</v>
      </c>
    </row>
    <row r="6" spans="1:17" x14ac:dyDescent="0.6">
      <c r="A6" s="80"/>
      <c r="B6" s="80"/>
      <c r="C6" s="81"/>
      <c r="D6" s="81"/>
      <c r="E6" s="82"/>
      <c r="F6" s="82"/>
      <c r="G6" s="85"/>
      <c r="H6" s="83"/>
      <c r="I6" s="83"/>
      <c r="J6" s="83"/>
      <c r="K6" s="83"/>
      <c r="L6" s="86"/>
      <c r="M6" s="83"/>
      <c r="N6" s="83"/>
      <c r="O6" s="83"/>
      <c r="P6" s="87"/>
      <c r="Q6" s="90"/>
    </row>
    <row r="7" spans="1:17" x14ac:dyDescent="0.6">
      <c r="A7" s="80"/>
      <c r="B7" s="80"/>
      <c r="C7" s="81"/>
      <c r="D7" s="81"/>
      <c r="E7" s="82"/>
      <c r="F7" s="82"/>
      <c r="G7" s="85"/>
      <c r="H7" s="83"/>
      <c r="I7" s="83"/>
      <c r="J7" s="83"/>
      <c r="K7" s="83"/>
      <c r="L7" s="86"/>
      <c r="M7" s="83"/>
      <c r="N7" s="83"/>
      <c r="O7" s="83"/>
      <c r="P7" s="87"/>
      <c r="Q7" s="90"/>
    </row>
    <row r="8" spans="1:17" x14ac:dyDescent="0.6">
      <c r="A8" s="80"/>
      <c r="B8" s="80"/>
      <c r="C8" s="81"/>
      <c r="D8" s="81"/>
      <c r="E8" s="82"/>
      <c r="F8" s="82"/>
      <c r="G8" s="85"/>
      <c r="H8" s="83"/>
      <c r="I8" s="83"/>
      <c r="J8" s="83"/>
      <c r="K8" s="83"/>
      <c r="L8" s="86"/>
      <c r="M8" s="83"/>
      <c r="N8" s="83"/>
      <c r="O8" s="83"/>
      <c r="P8" s="87"/>
      <c r="Q8" s="90"/>
    </row>
    <row r="9" spans="1:17" x14ac:dyDescent="0.6">
      <c r="A9" s="80"/>
      <c r="B9" s="80"/>
      <c r="C9" s="81"/>
      <c r="D9" s="81"/>
      <c r="E9" s="82"/>
      <c r="F9" s="82"/>
      <c r="G9" s="85"/>
      <c r="H9" s="83"/>
      <c r="I9" s="83"/>
      <c r="J9" s="83"/>
      <c r="K9" s="83"/>
      <c r="L9" s="86"/>
      <c r="M9" s="83"/>
      <c r="N9" s="83"/>
      <c r="O9" s="83"/>
      <c r="P9" s="87"/>
      <c r="Q9" s="90"/>
    </row>
    <row r="10" spans="1:17" x14ac:dyDescent="0.6">
      <c r="A10" s="80"/>
      <c r="B10" s="80"/>
      <c r="C10" s="81"/>
      <c r="D10" s="81"/>
      <c r="E10" s="82"/>
      <c r="F10" s="82"/>
      <c r="G10" s="85"/>
      <c r="H10" s="83"/>
      <c r="I10" s="83"/>
      <c r="J10" s="83"/>
      <c r="K10" s="83"/>
      <c r="L10" s="86"/>
      <c r="M10" s="83"/>
      <c r="N10" s="83"/>
      <c r="O10" s="83"/>
      <c r="P10" s="87"/>
      <c r="Q10" s="90"/>
    </row>
    <row r="11" spans="1:17" x14ac:dyDescent="0.6">
      <c r="A11" s="80"/>
      <c r="B11" s="80"/>
      <c r="C11" s="81"/>
      <c r="D11" s="81"/>
      <c r="E11" s="82"/>
      <c r="F11" s="82"/>
      <c r="G11" s="85"/>
      <c r="H11" s="83"/>
      <c r="I11" s="83"/>
      <c r="J11" s="83"/>
      <c r="K11" s="91"/>
      <c r="L11" s="83"/>
      <c r="M11" s="86"/>
      <c r="N11" s="83"/>
      <c r="O11" s="83"/>
      <c r="P11" s="87"/>
      <c r="Q11" s="90"/>
    </row>
    <row r="12" spans="1:17" x14ac:dyDescent="0.6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91"/>
      <c r="L12" s="83"/>
      <c r="M12" s="83"/>
      <c r="N12" s="83"/>
      <c r="O12" s="83"/>
      <c r="P12" s="87"/>
      <c r="Q12" s="90"/>
    </row>
    <row r="13" spans="1:17" x14ac:dyDescent="0.6">
      <c r="A13" s="80"/>
      <c r="B13" s="80"/>
      <c r="C13" s="81"/>
      <c r="D13" s="81"/>
      <c r="E13" s="82"/>
      <c r="F13" s="82"/>
      <c r="G13" s="85"/>
      <c r="H13" s="83"/>
      <c r="I13" s="83"/>
      <c r="J13" s="83"/>
      <c r="K13" s="91"/>
      <c r="L13" s="83"/>
      <c r="M13" s="86"/>
      <c r="N13" s="83"/>
      <c r="O13" s="83"/>
      <c r="P13" s="87"/>
      <c r="Q13" s="90"/>
    </row>
    <row r="14" spans="1:17" x14ac:dyDescent="0.6">
      <c r="A14" s="80"/>
      <c r="B14" s="80"/>
      <c r="C14" s="81"/>
      <c r="D14" s="81"/>
      <c r="E14" s="82"/>
      <c r="F14" s="82"/>
      <c r="G14" s="85"/>
      <c r="H14" s="83"/>
      <c r="I14" s="83"/>
      <c r="J14" s="83"/>
      <c r="K14" s="83"/>
      <c r="L14" s="86"/>
      <c r="M14" s="83"/>
      <c r="N14" s="83"/>
      <c r="O14" s="83"/>
      <c r="P14" s="87"/>
      <c r="Q14" s="90"/>
    </row>
    <row r="15" spans="1:17" x14ac:dyDescent="0.6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3"/>
      <c r="L15" s="86"/>
      <c r="M15" s="83"/>
      <c r="N15" s="83"/>
      <c r="O15" s="83"/>
      <c r="P15" s="87"/>
      <c r="Q15" s="90"/>
    </row>
    <row r="16" spans="1:17" x14ac:dyDescent="0.6">
      <c r="A16" s="80"/>
      <c r="B16" s="80"/>
      <c r="C16" s="81"/>
      <c r="D16" s="81"/>
      <c r="E16" s="82"/>
      <c r="F16" s="82"/>
      <c r="G16" s="85"/>
      <c r="H16" s="83"/>
      <c r="I16" s="83"/>
      <c r="J16" s="83"/>
      <c r="K16" s="83"/>
      <c r="L16" s="86"/>
      <c r="M16" s="83"/>
      <c r="N16" s="83"/>
      <c r="O16" s="83"/>
      <c r="P16" s="87"/>
      <c r="Q16" s="90"/>
    </row>
    <row r="17" spans="12:12" x14ac:dyDescent="0.6">
      <c r="L17" s="86"/>
    </row>
    <row r="18" spans="12:12" x14ac:dyDescent="0.6">
      <c r="L18" s="86"/>
    </row>
    <row r="19" spans="12:12" x14ac:dyDescent="0.6">
      <c r="L19" s="86"/>
    </row>
    <row r="20" spans="12:12" x14ac:dyDescent="0.6">
      <c r="L20" s="86"/>
    </row>
    <row r="21" spans="12:12" x14ac:dyDescent="0.6">
      <c r="L21" s="86"/>
    </row>
    <row r="22" spans="12:12" x14ac:dyDescent="0.6">
      <c r="L22" s="86"/>
    </row>
    <row r="23" spans="12:12" x14ac:dyDescent="0.6">
      <c r="L23" s="86"/>
    </row>
    <row r="24" spans="12:12" x14ac:dyDescent="0.6">
      <c r="L24" s="86"/>
    </row>
    <row r="25" spans="12:12" x14ac:dyDescent="0.6">
      <c r="L25" s="86"/>
    </row>
    <row r="26" spans="12:12" x14ac:dyDescent="0.6">
      <c r="L26" s="86"/>
    </row>
  </sheetData>
  <autoFilter ref="A1:Q1" xr:uid="{A0499EC0-9336-4A43-84AD-C0713E773EA7}"/>
  <conditionalFormatting sqref="B1:B1048576">
    <cfRule type="duplicateValues" dxfId="19" priority="6"/>
  </conditionalFormatting>
  <conditionalFormatting sqref="E2:F2">
    <cfRule type="expression" priority="7">
      <formula>MOD(E802:E1048384,2)&gt;0</formula>
    </cfRule>
  </conditionalFormatting>
  <conditionalFormatting sqref="E2:F5">
    <cfRule type="expression" dxfId="18" priority="11">
      <formula xml:space="preserve"> MOD(E:E/2,1)&gt;0</formula>
    </cfRule>
  </conditionalFormatting>
  <conditionalFormatting sqref="E3:F4">
    <cfRule type="expression" priority="126">
      <formula>MOD(E804:E1048386,2)&gt;0</formula>
    </cfRule>
  </conditionalFormatting>
  <conditionalFormatting sqref="E5:F5">
    <cfRule type="expression" priority="8">
      <formula>MOD(E807:E1048389,2)&gt;0</formula>
    </cfRule>
    <cfRule type="expression" priority="9">
      <formula>MOD(E808:E1048390,2)&gt;0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599D-C226-4AFB-8393-BA70D351B771}">
  <sheetPr codeName="Sheet4">
    <tabColor theme="9" tint="0.59999389629810485"/>
  </sheetPr>
  <dimension ref="A1:Q12"/>
  <sheetViews>
    <sheetView topLeftCell="B1" zoomScaleNormal="100" workbookViewId="0">
      <pane xSplit="3" ySplit="1" topLeftCell="G2" activePane="bottomRight" state="frozen"/>
      <selection pane="topRight" activeCell="C25" sqref="C25"/>
      <selection pane="bottomLeft" activeCell="C25" sqref="C25"/>
      <selection pane="bottomRight" activeCell="G13" sqref="G13"/>
    </sheetView>
  </sheetViews>
  <sheetFormatPr defaultColWidth="9.15234375" defaultRowHeight="16.75" x14ac:dyDescent="0.6"/>
  <cols>
    <col min="1" max="1" width="9.15234375" style="8"/>
    <col min="2" max="2" width="14.3046875" style="8" bestFit="1" customWidth="1"/>
    <col min="3" max="3" width="43.53515625" style="19" bestFit="1" customWidth="1"/>
    <col min="4" max="4" width="19.15234375" style="19" bestFit="1" customWidth="1"/>
    <col min="5" max="5" width="14.15234375" style="20" hidden="1" customWidth="1"/>
    <col min="6" max="6" width="13.3828125" style="20" hidden="1" customWidth="1"/>
    <col min="7" max="7" width="39.3046875" style="21" customWidth="1"/>
    <col min="8" max="8" width="19.69140625" style="22" customWidth="1"/>
    <col min="9" max="9" width="16.53515625" style="22" customWidth="1"/>
    <col min="10" max="10" width="19.3828125" style="22" bestFit="1" customWidth="1"/>
    <col min="11" max="11" width="25.15234375" style="22" bestFit="1" customWidth="1"/>
    <col min="12" max="12" width="11.3828125" style="22" bestFit="1" customWidth="1"/>
    <col min="13" max="13" width="16.3828125" style="22" bestFit="1" customWidth="1"/>
    <col min="14" max="14" width="28.53515625" style="22" bestFit="1" customWidth="1"/>
    <col min="15" max="15" width="18.84375" style="22" bestFit="1" customWidth="1"/>
    <col min="16" max="16" width="26.3828125" style="23" bestFit="1" customWidth="1"/>
    <col min="17" max="17" width="88.84375" style="27" bestFit="1" customWidth="1"/>
    <col min="18" max="16384" width="9.15234375" style="8"/>
  </cols>
  <sheetData>
    <row r="1" spans="1:17" x14ac:dyDescent="0.6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56</v>
      </c>
      <c r="O1" s="13" t="s">
        <v>57</v>
      </c>
      <c r="P1" s="14" t="s">
        <v>58</v>
      </c>
      <c r="Q1" s="25" t="s">
        <v>17</v>
      </c>
    </row>
    <row r="2" spans="1:17" x14ac:dyDescent="0.6">
      <c r="A2" s="80"/>
      <c r="B2" s="5"/>
      <c r="C2" s="3" t="s">
        <v>59</v>
      </c>
      <c r="D2" s="4" t="s">
        <v>60</v>
      </c>
      <c r="E2" s="78">
        <v>45658</v>
      </c>
      <c r="F2" s="78">
        <v>45900</v>
      </c>
      <c r="G2" s="4" t="s">
        <v>61</v>
      </c>
      <c r="H2" s="16">
        <v>3</v>
      </c>
      <c r="I2" s="17" t="s">
        <v>62</v>
      </c>
      <c r="J2" s="17">
        <v>6</v>
      </c>
      <c r="K2" s="17">
        <v>5</v>
      </c>
      <c r="L2" s="17">
        <v>0</v>
      </c>
      <c r="M2" s="17">
        <v>0</v>
      </c>
      <c r="N2" s="6">
        <f t="shared" ref="N2:N5" si="0">K2/J2</f>
        <v>0.83333333333333337</v>
      </c>
      <c r="O2" s="7">
        <f t="shared" ref="O2:P5" si="1">L2/K2</f>
        <v>0</v>
      </c>
      <c r="P2" s="6" t="e">
        <f>M2/L2</f>
        <v>#DIV/0!</v>
      </c>
      <c r="Q2" s="26" t="s">
        <v>75</v>
      </c>
    </row>
    <row r="3" spans="1:17" x14ac:dyDescent="0.6">
      <c r="A3" s="80"/>
      <c r="B3" s="5"/>
      <c r="C3" s="3" t="s">
        <v>70</v>
      </c>
      <c r="D3" s="4" t="s">
        <v>41</v>
      </c>
      <c r="E3" s="78">
        <v>45658</v>
      </c>
      <c r="F3" s="78">
        <v>46022</v>
      </c>
      <c r="G3" s="4" t="s">
        <v>71</v>
      </c>
      <c r="H3" s="16">
        <v>11</v>
      </c>
      <c r="I3" s="17" t="s">
        <v>62</v>
      </c>
      <c r="J3" s="17">
        <v>24</v>
      </c>
      <c r="K3" s="5">
        <v>24</v>
      </c>
      <c r="L3" s="5">
        <v>0</v>
      </c>
      <c r="M3" s="5">
        <v>0</v>
      </c>
      <c r="N3" s="6">
        <f t="shared" si="0"/>
        <v>1</v>
      </c>
      <c r="O3" s="7">
        <f t="shared" si="1"/>
        <v>0</v>
      </c>
      <c r="P3" s="6" t="e">
        <f t="shared" si="1"/>
        <v>#DIV/0!</v>
      </c>
      <c r="Q3" s="26" t="s">
        <v>76</v>
      </c>
    </row>
    <row r="4" spans="1:17" x14ac:dyDescent="0.6">
      <c r="A4" s="84"/>
      <c r="B4" s="5"/>
      <c r="C4" s="3" t="s">
        <v>64</v>
      </c>
      <c r="D4" s="4" t="s">
        <v>41</v>
      </c>
      <c r="E4" s="78">
        <v>45658</v>
      </c>
      <c r="F4" s="78">
        <v>45838</v>
      </c>
      <c r="G4" s="4" t="s">
        <v>65</v>
      </c>
      <c r="H4" s="16">
        <v>39</v>
      </c>
      <c r="I4" s="17" t="s">
        <v>62</v>
      </c>
      <c r="J4" s="17">
        <v>19</v>
      </c>
      <c r="K4" s="5">
        <v>18</v>
      </c>
      <c r="L4" s="5">
        <v>0</v>
      </c>
      <c r="M4" s="5">
        <v>0</v>
      </c>
      <c r="N4" s="6">
        <f t="shared" si="0"/>
        <v>0.94736842105263153</v>
      </c>
      <c r="O4" s="7">
        <f t="shared" si="1"/>
        <v>0</v>
      </c>
      <c r="P4" s="6" t="e">
        <f t="shared" si="1"/>
        <v>#DIV/0!</v>
      </c>
      <c r="Q4" s="26" t="s">
        <v>77</v>
      </c>
    </row>
    <row r="5" spans="1:17" x14ac:dyDescent="0.6">
      <c r="A5" s="80"/>
      <c r="B5" s="5"/>
      <c r="C5" s="3" t="s">
        <v>67</v>
      </c>
      <c r="D5" s="4" t="s">
        <v>41</v>
      </c>
      <c r="E5" s="78">
        <v>45658</v>
      </c>
      <c r="F5" s="78">
        <v>46022</v>
      </c>
      <c r="G5" s="4" t="s">
        <v>42</v>
      </c>
      <c r="H5" s="16">
        <v>16</v>
      </c>
      <c r="I5" s="17" t="s">
        <v>62</v>
      </c>
      <c r="J5" s="17">
        <v>7</v>
      </c>
      <c r="K5" s="5">
        <v>7</v>
      </c>
      <c r="L5" s="5">
        <v>0</v>
      </c>
      <c r="M5" s="5">
        <v>0</v>
      </c>
      <c r="N5" s="6">
        <f t="shared" si="0"/>
        <v>1</v>
      </c>
      <c r="O5" s="7">
        <f t="shared" si="1"/>
        <v>0</v>
      </c>
      <c r="P5" s="6" t="e">
        <f t="shared" si="1"/>
        <v>#DIV/0!</v>
      </c>
      <c r="Q5" s="79" t="s">
        <v>78</v>
      </c>
    </row>
    <row r="6" spans="1:17" x14ac:dyDescent="0.6">
      <c r="A6" s="80"/>
      <c r="B6" s="80"/>
      <c r="C6" s="81"/>
      <c r="D6" s="81"/>
      <c r="E6" s="82"/>
      <c r="F6" s="82"/>
      <c r="G6" s="85"/>
      <c r="H6" s="83"/>
      <c r="I6" s="83"/>
      <c r="J6" s="83"/>
      <c r="K6" s="83"/>
      <c r="L6" s="86"/>
      <c r="M6" s="83"/>
      <c r="N6" s="83"/>
      <c r="O6" s="83"/>
      <c r="P6" s="87"/>
      <c r="Q6" s="90"/>
    </row>
    <row r="7" spans="1:17" x14ac:dyDescent="0.6">
      <c r="A7" s="80"/>
      <c r="B7" s="80"/>
      <c r="C7" s="81"/>
      <c r="D7" s="81"/>
      <c r="E7" s="82"/>
      <c r="F7" s="82"/>
      <c r="G7" s="85"/>
      <c r="H7" s="83"/>
      <c r="I7" s="83"/>
      <c r="J7" s="83"/>
      <c r="K7" s="83"/>
      <c r="L7" s="86"/>
      <c r="M7" s="83"/>
      <c r="N7" s="83"/>
      <c r="O7" s="83"/>
      <c r="P7" s="87"/>
      <c r="Q7" s="90"/>
    </row>
    <row r="8" spans="1:17" x14ac:dyDescent="0.6">
      <c r="A8" s="80"/>
      <c r="B8" s="80"/>
      <c r="C8" s="81"/>
      <c r="D8" s="81"/>
      <c r="E8" s="82"/>
      <c r="F8" s="82"/>
      <c r="G8" s="85"/>
      <c r="H8" s="83"/>
      <c r="I8" s="83"/>
      <c r="J8" s="83"/>
      <c r="K8" s="83"/>
      <c r="L8" s="86"/>
      <c r="M8" s="83"/>
      <c r="N8" s="83"/>
      <c r="O8" s="83"/>
      <c r="P8" s="87"/>
      <c r="Q8" s="90"/>
    </row>
    <row r="9" spans="1:17" x14ac:dyDescent="0.6">
      <c r="A9" s="80"/>
      <c r="B9" s="80"/>
      <c r="C9" s="81"/>
      <c r="D9" s="81"/>
      <c r="E9" s="82"/>
      <c r="F9" s="82"/>
      <c r="G9" s="85"/>
      <c r="H9" s="83"/>
      <c r="I9" s="83"/>
      <c r="J9" s="83"/>
      <c r="K9" s="83"/>
      <c r="L9" s="86"/>
      <c r="M9" s="83"/>
      <c r="N9" s="83"/>
      <c r="O9" s="83"/>
      <c r="P9" s="87"/>
      <c r="Q9" s="90"/>
    </row>
    <row r="10" spans="1:17" x14ac:dyDescent="0.6">
      <c r="A10" s="80"/>
      <c r="B10" s="80"/>
      <c r="C10" s="81"/>
      <c r="D10" s="81"/>
      <c r="E10" s="82"/>
      <c r="F10" s="82"/>
      <c r="G10" s="85"/>
      <c r="H10" s="83"/>
      <c r="I10" s="83"/>
      <c r="J10" s="83"/>
      <c r="K10" s="83"/>
      <c r="L10" s="86"/>
      <c r="M10" s="83"/>
      <c r="N10" s="83"/>
      <c r="O10" s="83"/>
      <c r="P10" s="87"/>
      <c r="Q10" s="90"/>
    </row>
    <row r="11" spans="1:17" x14ac:dyDescent="0.6">
      <c r="A11" s="80"/>
      <c r="B11" s="80"/>
      <c r="C11" s="81"/>
      <c r="D11" s="81"/>
      <c r="E11" s="82"/>
      <c r="F11" s="82"/>
      <c r="G11" s="85"/>
      <c r="H11" s="83"/>
      <c r="I11" s="83"/>
      <c r="J11" s="83"/>
      <c r="K11" s="91"/>
      <c r="L11" s="83"/>
      <c r="M11" s="83"/>
      <c r="N11" s="83"/>
      <c r="O11" s="83"/>
      <c r="P11" s="87"/>
      <c r="Q11" s="90"/>
    </row>
    <row r="12" spans="1:17" x14ac:dyDescent="0.6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91"/>
      <c r="L12" s="83"/>
      <c r="M12" s="86"/>
      <c r="N12" s="83"/>
      <c r="O12" s="83"/>
      <c r="P12" s="87"/>
      <c r="Q12" s="90"/>
    </row>
  </sheetData>
  <autoFilter ref="A1:Q1" xr:uid="{A0499EC0-9336-4A43-84AD-C0713E773EA7}"/>
  <conditionalFormatting sqref="B1:B1048576">
    <cfRule type="duplicateValues" dxfId="17" priority="6"/>
  </conditionalFormatting>
  <conditionalFormatting sqref="E2:F2">
    <cfRule type="expression" priority="144">
      <formula>MOD(E785:E1048367,2)&gt;0</formula>
    </cfRule>
  </conditionalFormatting>
  <conditionalFormatting sqref="E2:F5">
    <cfRule type="expression" dxfId="16" priority="114">
      <formula xml:space="preserve"> MOD(E:E/2,1)&gt;0</formula>
    </cfRule>
  </conditionalFormatting>
  <conditionalFormatting sqref="E3:F4">
    <cfRule type="expression" priority="130">
      <formula>MOD(E787:E1048369,2)&gt;0</formula>
    </cfRule>
  </conditionalFormatting>
  <conditionalFormatting sqref="E5:F5">
    <cfRule type="expression" priority="9">
      <formula>MOD(E791:E1048373,2)&gt;0</formula>
    </cfRule>
    <cfRule type="expression" priority="113">
      <formula>MOD(E790:E1048372,2)&gt;0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BB09-ABC9-48FE-9130-3FEEE4B55C02}">
  <sheetPr codeName="Sheet5">
    <tabColor theme="9" tint="0.59999389629810485"/>
  </sheetPr>
  <dimension ref="A1:Q15"/>
  <sheetViews>
    <sheetView topLeftCell="B1" workbookViewId="0">
      <pane xSplit="3" ySplit="1" topLeftCell="G2" activePane="bottomRight" state="frozen"/>
      <selection pane="topRight" activeCell="C25" sqref="C25"/>
      <selection pane="bottomLeft" activeCell="C25" sqref="C25"/>
      <selection pane="bottomRight" activeCell="G3" sqref="G3"/>
    </sheetView>
  </sheetViews>
  <sheetFormatPr defaultColWidth="9.15234375" defaultRowHeight="16.75" x14ac:dyDescent="0.6"/>
  <cols>
    <col min="1" max="1" width="9.15234375" style="8"/>
    <col min="2" max="2" width="14.3046875" style="8" bestFit="1" customWidth="1"/>
    <col min="3" max="3" width="43.53515625" style="19" bestFit="1" customWidth="1"/>
    <col min="4" max="4" width="19.15234375" style="19" customWidth="1"/>
    <col min="5" max="5" width="14.15234375" style="20" hidden="1" customWidth="1"/>
    <col min="6" max="6" width="13.3828125" style="20" hidden="1" customWidth="1"/>
    <col min="7" max="7" width="39.3046875" style="21" customWidth="1"/>
    <col min="8" max="8" width="19.69140625" style="22" customWidth="1"/>
    <col min="9" max="9" width="16.53515625" style="22" customWidth="1"/>
    <col min="10" max="10" width="19.3828125" style="22" bestFit="1" customWidth="1"/>
    <col min="11" max="11" width="25.15234375" style="22" bestFit="1" customWidth="1"/>
    <col min="12" max="12" width="11.3828125" style="22" bestFit="1" customWidth="1"/>
    <col min="13" max="13" width="16.3828125" style="22" bestFit="1" customWidth="1"/>
    <col min="14" max="14" width="28.53515625" style="22" bestFit="1" customWidth="1"/>
    <col min="15" max="15" width="18.84375" style="22" bestFit="1" customWidth="1"/>
    <col min="16" max="16" width="26.3828125" style="23" bestFit="1" customWidth="1"/>
    <col min="17" max="17" width="66.69140625" style="27" bestFit="1" customWidth="1"/>
    <col min="18" max="16384" width="9.15234375" style="8"/>
  </cols>
  <sheetData>
    <row r="1" spans="1:17" x14ac:dyDescent="0.6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56</v>
      </c>
      <c r="O1" s="13" t="s">
        <v>57</v>
      </c>
      <c r="P1" s="14" t="s">
        <v>58</v>
      </c>
      <c r="Q1" s="25" t="s">
        <v>17</v>
      </c>
    </row>
    <row r="2" spans="1:17" ht="37" customHeight="1" x14ac:dyDescent="0.6">
      <c r="A2" s="80"/>
      <c r="B2" s="5"/>
      <c r="C2" s="3" t="s">
        <v>59</v>
      </c>
      <c r="D2" s="4" t="s">
        <v>60</v>
      </c>
      <c r="E2" s="78">
        <v>45658</v>
      </c>
      <c r="F2" s="78">
        <v>45900</v>
      </c>
      <c r="G2" s="4" t="s">
        <v>61</v>
      </c>
      <c r="H2" s="16">
        <v>3</v>
      </c>
      <c r="I2" s="17" t="s">
        <v>62</v>
      </c>
      <c r="J2" s="17">
        <v>9</v>
      </c>
      <c r="K2" s="17">
        <v>8</v>
      </c>
      <c r="L2" s="17">
        <v>0</v>
      </c>
      <c r="M2" s="17">
        <v>0</v>
      </c>
      <c r="N2" s="6">
        <f t="shared" ref="N2:P6" si="0">K2/J2</f>
        <v>0.88888888888888884</v>
      </c>
      <c r="O2" s="7">
        <f t="shared" si="0"/>
        <v>0</v>
      </c>
      <c r="P2" s="6" t="e">
        <f>M2/L2</f>
        <v>#DIV/0!</v>
      </c>
      <c r="Q2" s="26" t="s">
        <v>79</v>
      </c>
    </row>
    <row r="3" spans="1:17" ht="37" customHeight="1" x14ac:dyDescent="0.6">
      <c r="A3" s="80"/>
      <c r="B3" s="5"/>
      <c r="C3" s="3" t="s">
        <v>70</v>
      </c>
      <c r="D3" s="4" t="s">
        <v>41</v>
      </c>
      <c r="E3" s="78">
        <v>45658</v>
      </c>
      <c r="F3" s="78">
        <v>46022</v>
      </c>
      <c r="G3" s="4" t="s">
        <v>71</v>
      </c>
      <c r="H3" s="16">
        <v>11</v>
      </c>
      <c r="I3" s="17" t="s">
        <v>62</v>
      </c>
      <c r="J3" s="17">
        <v>14</v>
      </c>
      <c r="K3" s="17">
        <v>14</v>
      </c>
      <c r="L3" s="17">
        <v>0</v>
      </c>
      <c r="M3" s="17">
        <v>0</v>
      </c>
      <c r="N3" s="6">
        <f t="shared" si="0"/>
        <v>1</v>
      </c>
      <c r="O3" s="7">
        <f t="shared" si="0"/>
        <v>0</v>
      </c>
      <c r="P3" s="6" t="e">
        <f t="shared" si="0"/>
        <v>#DIV/0!</v>
      </c>
      <c r="Q3" s="26" t="s">
        <v>80</v>
      </c>
    </row>
    <row r="4" spans="1:17" ht="37" customHeight="1" x14ac:dyDescent="0.6">
      <c r="A4" s="84"/>
      <c r="B4" s="5"/>
      <c r="C4" s="3" t="s">
        <v>64</v>
      </c>
      <c r="D4" s="4" t="s">
        <v>41</v>
      </c>
      <c r="E4" s="78">
        <v>45658</v>
      </c>
      <c r="F4" s="78">
        <v>45838</v>
      </c>
      <c r="G4" s="4" t="s">
        <v>65</v>
      </c>
      <c r="H4" s="16">
        <v>39</v>
      </c>
      <c r="I4" s="17" t="s">
        <v>62</v>
      </c>
      <c r="J4" s="5">
        <v>28</v>
      </c>
      <c r="K4" s="5">
        <v>28</v>
      </c>
      <c r="L4" s="5">
        <v>0</v>
      </c>
      <c r="M4" s="5">
        <v>0</v>
      </c>
      <c r="N4" s="6">
        <f t="shared" si="0"/>
        <v>1</v>
      </c>
      <c r="O4" s="7">
        <f t="shared" si="0"/>
        <v>0</v>
      </c>
      <c r="P4" s="6" t="e">
        <f t="shared" si="0"/>
        <v>#DIV/0!</v>
      </c>
      <c r="Q4" s="26" t="s">
        <v>81</v>
      </c>
    </row>
    <row r="5" spans="1:17" ht="37" customHeight="1" x14ac:dyDescent="0.6">
      <c r="A5" s="80"/>
      <c r="B5" s="5"/>
      <c r="C5" s="3" t="s">
        <v>67</v>
      </c>
      <c r="D5" s="4" t="s">
        <v>41</v>
      </c>
      <c r="E5" s="78">
        <v>45658</v>
      </c>
      <c r="F5" s="78">
        <v>46022</v>
      </c>
      <c r="G5" s="4" t="s">
        <v>42</v>
      </c>
      <c r="H5" s="16">
        <v>16</v>
      </c>
      <c r="I5" s="17" t="s">
        <v>62</v>
      </c>
      <c r="J5" s="5">
        <v>57</v>
      </c>
      <c r="K5" s="5">
        <v>57</v>
      </c>
      <c r="L5" s="5">
        <v>0</v>
      </c>
      <c r="M5" s="5">
        <v>0</v>
      </c>
      <c r="N5" s="6">
        <f t="shared" si="0"/>
        <v>1</v>
      </c>
      <c r="O5" s="7">
        <f t="shared" si="0"/>
        <v>0</v>
      </c>
      <c r="P5" s="6" t="e">
        <f t="shared" si="0"/>
        <v>#DIV/0!</v>
      </c>
      <c r="Q5" s="79" t="s">
        <v>82</v>
      </c>
    </row>
    <row r="6" spans="1:17" ht="37" customHeight="1" x14ac:dyDescent="0.6">
      <c r="A6" s="80"/>
      <c r="B6" s="5"/>
      <c r="C6" s="3" t="s">
        <v>83</v>
      </c>
      <c r="D6" s="4" t="s">
        <v>84</v>
      </c>
      <c r="E6" s="78">
        <v>45658</v>
      </c>
      <c r="F6" s="78">
        <v>46022</v>
      </c>
      <c r="G6" s="4" t="s">
        <v>85</v>
      </c>
      <c r="H6" s="16">
        <v>6</v>
      </c>
      <c r="I6" s="5" t="s">
        <v>62</v>
      </c>
      <c r="J6" s="5">
        <v>16</v>
      </c>
      <c r="K6" s="5">
        <v>16</v>
      </c>
      <c r="L6" s="5">
        <v>0</v>
      </c>
      <c r="M6" s="5">
        <v>0</v>
      </c>
      <c r="N6" s="6">
        <f t="shared" si="0"/>
        <v>1</v>
      </c>
      <c r="O6" s="7">
        <f t="shared" si="0"/>
        <v>0</v>
      </c>
      <c r="P6" s="6" t="e">
        <f t="shared" si="0"/>
        <v>#DIV/0!</v>
      </c>
      <c r="Q6" s="79" t="s">
        <v>86</v>
      </c>
    </row>
    <row r="7" spans="1:17" x14ac:dyDescent="0.6">
      <c r="A7" s="80"/>
      <c r="B7" s="80"/>
      <c r="C7" s="81"/>
      <c r="D7" s="81"/>
      <c r="E7" s="82"/>
      <c r="F7" s="82"/>
      <c r="G7" s="85"/>
      <c r="H7" s="83"/>
      <c r="I7" s="83"/>
      <c r="J7" s="83"/>
      <c r="K7" s="83"/>
      <c r="L7" s="86"/>
      <c r="M7" s="83"/>
      <c r="N7" s="83"/>
      <c r="O7" s="83"/>
      <c r="P7" s="87"/>
      <c r="Q7" s="90"/>
    </row>
    <row r="8" spans="1:17" x14ac:dyDescent="0.6">
      <c r="A8" s="80"/>
      <c r="B8" s="80"/>
      <c r="C8" s="81"/>
      <c r="D8" s="81"/>
      <c r="E8" s="82"/>
      <c r="F8" s="82"/>
      <c r="G8" s="85"/>
      <c r="H8" s="83"/>
      <c r="I8" s="83"/>
      <c r="J8" s="83"/>
      <c r="K8" s="83"/>
      <c r="L8" s="86"/>
      <c r="M8" s="83"/>
      <c r="N8" s="83"/>
      <c r="O8" s="83"/>
      <c r="P8" s="87"/>
      <c r="Q8" s="90"/>
    </row>
    <row r="9" spans="1:17" x14ac:dyDescent="0.6">
      <c r="A9" s="80"/>
      <c r="B9" s="80"/>
      <c r="C9" s="81"/>
      <c r="D9" s="81"/>
      <c r="E9" s="82"/>
      <c r="F9" s="82"/>
      <c r="G9" s="85"/>
      <c r="H9" s="83"/>
      <c r="I9" s="83"/>
      <c r="J9" s="91"/>
      <c r="K9" s="91"/>
      <c r="L9" s="92"/>
      <c r="M9" s="91"/>
      <c r="N9" s="91"/>
      <c r="O9" s="83"/>
      <c r="P9" s="87"/>
      <c r="Q9" s="90"/>
    </row>
    <row r="10" spans="1:17" x14ac:dyDescent="0.6">
      <c r="A10" s="80"/>
      <c r="B10" s="80"/>
      <c r="C10" s="81"/>
      <c r="D10" s="81"/>
      <c r="E10" s="82"/>
      <c r="F10" s="82"/>
      <c r="G10" s="85"/>
      <c r="H10" s="83"/>
      <c r="I10" s="83"/>
      <c r="J10" s="83"/>
      <c r="K10" s="83"/>
      <c r="L10" s="86"/>
      <c r="M10" s="83"/>
      <c r="N10" s="83"/>
      <c r="O10" s="83"/>
      <c r="P10" s="87"/>
      <c r="Q10" s="90"/>
    </row>
    <row r="11" spans="1:17" x14ac:dyDescent="0.6">
      <c r="A11" s="80"/>
      <c r="B11" s="80"/>
      <c r="C11" s="81"/>
      <c r="D11" s="81"/>
      <c r="E11" s="82"/>
      <c r="F11" s="82"/>
      <c r="G11" s="85"/>
      <c r="H11" s="83"/>
      <c r="I11" s="83"/>
      <c r="J11" s="83"/>
      <c r="K11" s="83"/>
      <c r="L11" s="86"/>
      <c r="M11" s="83"/>
      <c r="N11" s="83"/>
      <c r="O11" s="83"/>
      <c r="P11" s="87"/>
      <c r="Q11" s="90"/>
    </row>
    <row r="12" spans="1:17" x14ac:dyDescent="0.6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83"/>
      <c r="L12" s="86"/>
      <c r="M12" s="83"/>
      <c r="N12" s="83"/>
      <c r="O12" s="83"/>
      <c r="P12" s="87"/>
      <c r="Q12" s="90"/>
    </row>
    <row r="13" spans="1:17" x14ac:dyDescent="0.6">
      <c r="A13" s="80"/>
      <c r="B13" s="80"/>
      <c r="C13" s="81"/>
      <c r="D13" s="81"/>
      <c r="E13" s="82"/>
      <c r="F13" s="82"/>
      <c r="G13" s="85"/>
      <c r="H13" s="83"/>
      <c r="I13" s="83"/>
      <c r="J13" s="83"/>
      <c r="K13" s="83"/>
      <c r="L13" s="86"/>
      <c r="M13" s="83"/>
      <c r="N13" s="83"/>
      <c r="O13" s="83"/>
      <c r="P13" s="87"/>
      <c r="Q13" s="90"/>
    </row>
    <row r="15" spans="1:17" x14ac:dyDescent="0.6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3"/>
      <c r="L15" s="28"/>
      <c r="M15" s="28"/>
      <c r="N15" s="28"/>
      <c r="O15" s="83"/>
      <c r="P15" s="87"/>
      <c r="Q15" s="90"/>
    </row>
  </sheetData>
  <autoFilter ref="A1:Q1" xr:uid="{A0499EC0-9336-4A43-84AD-C0713E773EA7}"/>
  <conditionalFormatting sqref="B1:B1048576">
    <cfRule type="duplicateValues" dxfId="15" priority="6"/>
  </conditionalFormatting>
  <conditionalFormatting sqref="E2:F2">
    <cfRule type="expression" priority="150">
      <formula>MOD(E789:E1048371,2)&gt;0</formula>
    </cfRule>
  </conditionalFormatting>
  <conditionalFormatting sqref="E2:F6">
    <cfRule type="expression" dxfId="14" priority="11">
      <formula xml:space="preserve"> MOD(E:E/2,1)&gt;0</formula>
    </cfRule>
  </conditionalFormatting>
  <conditionalFormatting sqref="E3:F4">
    <cfRule type="expression" priority="156">
      <formula>MOD(E791:E1048373,2)&gt;0</formula>
    </cfRule>
  </conditionalFormatting>
  <conditionalFormatting sqref="E5:F6">
    <cfRule type="expression" priority="8">
      <formula>MOD(E794:E1048376,2)&gt;0</formula>
    </cfRule>
    <cfRule type="expression" priority="9">
      <formula>MOD(E795:E1048377,2)&gt;0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7C93-B511-4B6C-8E93-020D91EDAC15}">
  <sheetPr codeName="Sheet6">
    <tabColor theme="9" tint="0.59999389629810485"/>
  </sheetPr>
  <dimension ref="A1:Q17"/>
  <sheetViews>
    <sheetView topLeftCell="B1" workbookViewId="0">
      <pane xSplit="3" ySplit="1" topLeftCell="G2" activePane="bottomRight" state="frozen"/>
      <selection pane="topRight" activeCell="C25" sqref="C25"/>
      <selection pane="bottomLeft" activeCell="C25" sqref="C25"/>
      <selection pane="bottomRight" activeCell="G4" sqref="G4"/>
    </sheetView>
  </sheetViews>
  <sheetFormatPr defaultColWidth="9.15234375" defaultRowHeight="16.75" x14ac:dyDescent="0.6"/>
  <cols>
    <col min="1" max="1" width="9.15234375" style="8"/>
    <col min="2" max="2" width="14.3046875" style="8" bestFit="1" customWidth="1"/>
    <col min="3" max="3" width="43.53515625" style="19" bestFit="1" customWidth="1"/>
    <col min="4" max="4" width="19.15234375" style="19" customWidth="1"/>
    <col min="5" max="5" width="14.15234375" style="20" hidden="1" customWidth="1"/>
    <col min="6" max="6" width="13.3828125" style="20" hidden="1" customWidth="1"/>
    <col min="7" max="7" width="39.3046875" style="21" customWidth="1"/>
    <col min="8" max="8" width="19.69140625" style="22" customWidth="1"/>
    <col min="9" max="9" width="16.53515625" style="22" customWidth="1"/>
    <col min="10" max="10" width="19.3828125" style="22" bestFit="1" customWidth="1"/>
    <col min="11" max="11" width="25.15234375" style="22" bestFit="1" customWidth="1"/>
    <col min="12" max="12" width="11.3828125" style="22" bestFit="1" customWidth="1"/>
    <col min="13" max="13" width="16.3828125" style="22" bestFit="1" customWidth="1"/>
    <col min="14" max="14" width="28.53515625" style="22" bestFit="1" customWidth="1"/>
    <col min="15" max="15" width="18.84375" style="22" bestFit="1" customWidth="1"/>
    <col min="16" max="16" width="26.3828125" style="23" bestFit="1" customWidth="1"/>
    <col min="17" max="17" width="76.15234375" style="27" bestFit="1" customWidth="1"/>
    <col min="18" max="16384" width="9.15234375" style="8"/>
  </cols>
  <sheetData>
    <row r="1" spans="1:17" x14ac:dyDescent="0.6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56</v>
      </c>
      <c r="O1" s="13" t="s">
        <v>57</v>
      </c>
      <c r="P1" s="14" t="s">
        <v>58</v>
      </c>
      <c r="Q1" s="2" t="s">
        <v>17</v>
      </c>
    </row>
    <row r="2" spans="1:17" ht="36.65" customHeight="1" x14ac:dyDescent="0.6">
      <c r="A2" s="80"/>
      <c r="B2" s="5"/>
      <c r="C2" s="3" t="s">
        <v>59</v>
      </c>
      <c r="D2" s="4" t="s">
        <v>60</v>
      </c>
      <c r="E2" s="78">
        <v>45658</v>
      </c>
      <c r="F2" s="78">
        <v>45900</v>
      </c>
      <c r="G2" s="4" t="s">
        <v>61</v>
      </c>
      <c r="H2" s="16">
        <v>3</v>
      </c>
      <c r="I2" s="17" t="s">
        <v>62</v>
      </c>
      <c r="J2" s="17">
        <v>10</v>
      </c>
      <c r="K2" s="17">
        <v>10</v>
      </c>
      <c r="L2" s="17">
        <v>0</v>
      </c>
      <c r="M2" s="17">
        <v>0</v>
      </c>
      <c r="N2" s="6">
        <f t="shared" ref="N2:N7" si="0">K2/J2</f>
        <v>1</v>
      </c>
      <c r="O2" s="7">
        <f t="shared" ref="O2:O7" si="1">L2/K2</f>
        <v>0</v>
      </c>
      <c r="P2" s="6" t="e">
        <f>M2/L2</f>
        <v>#DIV/0!</v>
      </c>
      <c r="Q2" s="3" t="s">
        <v>87</v>
      </c>
    </row>
    <row r="3" spans="1:17" ht="36.65" customHeight="1" x14ac:dyDescent="0.6">
      <c r="A3" s="80"/>
      <c r="B3" s="5"/>
      <c r="C3" s="3" t="s">
        <v>88</v>
      </c>
      <c r="D3" s="4" t="s">
        <v>60</v>
      </c>
      <c r="E3" s="78">
        <v>45763</v>
      </c>
      <c r="F3" s="78">
        <v>45930</v>
      </c>
      <c r="G3" s="4" t="s">
        <v>89</v>
      </c>
      <c r="H3" s="16">
        <v>1</v>
      </c>
      <c r="I3" s="17" t="s">
        <v>62</v>
      </c>
      <c r="J3" s="17">
        <v>42</v>
      </c>
      <c r="K3" s="17">
        <v>42</v>
      </c>
      <c r="L3" s="17">
        <v>0</v>
      </c>
      <c r="M3" s="17">
        <v>0</v>
      </c>
      <c r="N3" s="6">
        <f t="shared" si="0"/>
        <v>1</v>
      </c>
      <c r="O3" s="7">
        <f t="shared" si="1"/>
        <v>0</v>
      </c>
      <c r="P3" s="6" t="e">
        <f t="shared" ref="P3:P7" si="2">M3/L3</f>
        <v>#DIV/0!</v>
      </c>
      <c r="Q3" s="3" t="s">
        <v>90</v>
      </c>
    </row>
    <row r="4" spans="1:17" ht="36.65" customHeight="1" x14ac:dyDescent="0.6">
      <c r="A4" s="80"/>
      <c r="B4" s="5"/>
      <c r="C4" s="3" t="s">
        <v>70</v>
      </c>
      <c r="D4" s="4" t="s">
        <v>41</v>
      </c>
      <c r="E4" s="78">
        <v>45658</v>
      </c>
      <c r="F4" s="78">
        <v>46022</v>
      </c>
      <c r="G4" s="4" t="s">
        <v>71</v>
      </c>
      <c r="H4" s="16">
        <v>11</v>
      </c>
      <c r="I4" s="17" t="s">
        <v>62</v>
      </c>
      <c r="J4" s="5">
        <v>7</v>
      </c>
      <c r="K4" s="5">
        <v>7</v>
      </c>
      <c r="L4" s="5">
        <v>1</v>
      </c>
      <c r="M4" s="5">
        <v>1</v>
      </c>
      <c r="N4" s="6">
        <f t="shared" si="0"/>
        <v>1</v>
      </c>
      <c r="O4" s="7">
        <f t="shared" si="1"/>
        <v>0.14285714285714285</v>
      </c>
      <c r="P4" s="6">
        <f t="shared" si="2"/>
        <v>1</v>
      </c>
      <c r="Q4" s="3" t="s">
        <v>91</v>
      </c>
    </row>
    <row r="5" spans="1:17" ht="36.65" customHeight="1" x14ac:dyDescent="0.6">
      <c r="A5" s="84"/>
      <c r="B5" s="5"/>
      <c r="C5" s="3" t="s">
        <v>64</v>
      </c>
      <c r="D5" s="4" t="s">
        <v>41</v>
      </c>
      <c r="E5" s="78">
        <v>45658</v>
      </c>
      <c r="F5" s="78">
        <v>45838</v>
      </c>
      <c r="G5" s="4" t="s">
        <v>65</v>
      </c>
      <c r="H5" s="16">
        <v>39</v>
      </c>
      <c r="I5" s="17" t="s">
        <v>62</v>
      </c>
      <c r="J5" s="5">
        <v>18</v>
      </c>
      <c r="K5" s="5">
        <v>18</v>
      </c>
      <c r="L5" s="5">
        <v>0</v>
      </c>
      <c r="M5" s="5">
        <v>0</v>
      </c>
      <c r="N5" s="6">
        <f t="shared" si="0"/>
        <v>1</v>
      </c>
      <c r="O5" s="7">
        <f t="shared" si="1"/>
        <v>0</v>
      </c>
      <c r="P5" s="6" t="e">
        <f t="shared" si="2"/>
        <v>#DIV/0!</v>
      </c>
      <c r="Q5" s="3" t="s">
        <v>92</v>
      </c>
    </row>
    <row r="6" spans="1:17" ht="36.65" customHeight="1" x14ac:dyDescent="0.6">
      <c r="A6" s="80"/>
      <c r="B6" s="5"/>
      <c r="C6" s="3" t="s">
        <v>67</v>
      </c>
      <c r="D6" s="4" t="s">
        <v>41</v>
      </c>
      <c r="E6" s="78">
        <v>45658</v>
      </c>
      <c r="F6" s="78">
        <v>46022</v>
      </c>
      <c r="G6" s="4" t="s">
        <v>42</v>
      </c>
      <c r="H6" s="16">
        <v>16</v>
      </c>
      <c r="I6" s="5" t="s">
        <v>62</v>
      </c>
      <c r="J6" s="5">
        <v>37</v>
      </c>
      <c r="K6" s="5">
        <v>37</v>
      </c>
      <c r="L6" s="5">
        <v>0</v>
      </c>
      <c r="M6" s="5">
        <v>0</v>
      </c>
      <c r="N6" s="6">
        <f t="shared" si="0"/>
        <v>1</v>
      </c>
      <c r="O6" s="7">
        <f t="shared" si="1"/>
        <v>0</v>
      </c>
      <c r="P6" s="6" t="e">
        <f t="shared" si="2"/>
        <v>#DIV/0!</v>
      </c>
      <c r="Q6" s="3" t="s">
        <v>93</v>
      </c>
    </row>
    <row r="7" spans="1:17" ht="36.65" customHeight="1" x14ac:dyDescent="0.6">
      <c r="A7" s="80"/>
      <c r="B7" s="5"/>
      <c r="C7" s="3" t="s">
        <v>83</v>
      </c>
      <c r="D7" s="4" t="s">
        <v>84</v>
      </c>
      <c r="E7" s="78">
        <v>45658</v>
      </c>
      <c r="F7" s="78">
        <v>46022</v>
      </c>
      <c r="G7" s="4" t="s">
        <v>85</v>
      </c>
      <c r="H7" s="16">
        <v>6</v>
      </c>
      <c r="I7" s="5" t="s">
        <v>62</v>
      </c>
      <c r="J7" s="5">
        <v>119</v>
      </c>
      <c r="K7" s="5">
        <v>119</v>
      </c>
      <c r="L7" s="5">
        <v>0</v>
      </c>
      <c r="M7" s="5">
        <v>0</v>
      </c>
      <c r="N7" s="6">
        <f t="shared" si="0"/>
        <v>1</v>
      </c>
      <c r="O7" s="7">
        <f t="shared" si="1"/>
        <v>0</v>
      </c>
      <c r="P7" s="6" t="e">
        <f t="shared" si="2"/>
        <v>#DIV/0!</v>
      </c>
      <c r="Q7" s="26" t="s">
        <v>94</v>
      </c>
    </row>
    <row r="8" spans="1:17" x14ac:dyDescent="0.6">
      <c r="A8" s="80"/>
      <c r="B8" s="80"/>
      <c r="C8" s="81"/>
      <c r="D8" s="81"/>
      <c r="E8" s="82"/>
      <c r="F8" s="82"/>
      <c r="G8" s="85"/>
      <c r="H8" s="83"/>
      <c r="I8" s="83"/>
      <c r="J8" s="83"/>
      <c r="K8" s="83"/>
      <c r="L8" s="86"/>
      <c r="M8" s="83"/>
      <c r="N8" s="83"/>
      <c r="O8" s="83"/>
      <c r="P8" s="87"/>
      <c r="Q8" s="90"/>
    </row>
    <row r="9" spans="1:17" x14ac:dyDescent="0.6">
      <c r="A9" s="80"/>
      <c r="B9" s="80"/>
      <c r="C9" s="81"/>
      <c r="D9" s="81"/>
      <c r="E9" s="82"/>
      <c r="F9" s="82"/>
      <c r="G9" s="85"/>
      <c r="H9" s="83"/>
      <c r="I9" s="83"/>
      <c r="J9" s="83"/>
      <c r="K9" s="83"/>
      <c r="L9" s="86"/>
      <c r="M9" s="83"/>
      <c r="N9" s="83"/>
      <c r="O9" s="83"/>
      <c r="P9" s="87"/>
      <c r="Q9" s="90"/>
    </row>
    <row r="10" spans="1:17" x14ac:dyDescent="0.6">
      <c r="A10" s="80"/>
      <c r="B10" s="80"/>
      <c r="C10" s="81"/>
      <c r="D10" s="81"/>
      <c r="E10" s="82"/>
      <c r="F10" s="82"/>
      <c r="G10" s="85"/>
      <c r="H10" s="83"/>
      <c r="I10" s="83"/>
      <c r="J10" s="83"/>
      <c r="K10" s="83"/>
      <c r="L10" s="86"/>
      <c r="M10" s="83"/>
      <c r="N10" s="83"/>
      <c r="O10" s="83"/>
      <c r="P10" s="87"/>
      <c r="Q10" s="90"/>
    </row>
    <row r="11" spans="1:17" x14ac:dyDescent="0.6">
      <c r="A11" s="80"/>
      <c r="B11" s="80"/>
      <c r="C11" s="81"/>
      <c r="D11" s="81"/>
      <c r="E11" s="82"/>
      <c r="F11" s="82"/>
      <c r="G11" s="85"/>
      <c r="H11" s="83"/>
      <c r="I11" s="83"/>
      <c r="J11" s="83"/>
      <c r="K11" s="83"/>
      <c r="L11" s="86"/>
      <c r="M11" s="83"/>
      <c r="N11" s="83"/>
      <c r="O11" s="83"/>
      <c r="P11" s="87"/>
      <c r="Q11" s="90"/>
    </row>
    <row r="12" spans="1:17" x14ac:dyDescent="0.6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83"/>
      <c r="L12" s="86"/>
      <c r="M12" s="83"/>
      <c r="N12" s="83"/>
      <c r="O12" s="83"/>
      <c r="P12" s="87"/>
      <c r="Q12" s="90"/>
    </row>
    <row r="13" spans="1:17" x14ac:dyDescent="0.6">
      <c r="A13" s="80"/>
      <c r="B13" s="80"/>
      <c r="C13" s="81"/>
      <c r="D13" s="81"/>
      <c r="E13" s="82"/>
      <c r="F13" s="82"/>
      <c r="G13" s="85"/>
      <c r="H13" s="83"/>
      <c r="I13" s="83"/>
      <c r="J13" s="83"/>
      <c r="K13" s="83"/>
      <c r="L13" s="86"/>
      <c r="M13" s="83"/>
      <c r="N13" s="83"/>
      <c r="O13" s="83"/>
      <c r="P13" s="87"/>
      <c r="Q13" s="90"/>
    </row>
    <row r="14" spans="1:17" x14ac:dyDescent="0.6">
      <c r="A14" s="80"/>
      <c r="B14" s="80"/>
      <c r="C14" s="81"/>
      <c r="D14" s="81"/>
      <c r="E14" s="82"/>
      <c r="F14" s="82"/>
      <c r="G14" s="85"/>
      <c r="H14" s="83"/>
      <c r="I14" s="83"/>
      <c r="J14" s="83"/>
      <c r="K14" s="83"/>
      <c r="L14" s="80"/>
      <c r="M14" s="80"/>
      <c r="N14" s="80"/>
      <c r="O14" s="83"/>
      <c r="P14" s="87"/>
      <c r="Q14" s="90"/>
    </row>
    <row r="15" spans="1:17" x14ac:dyDescent="0.6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3"/>
      <c r="L15" s="80"/>
      <c r="M15" s="80"/>
      <c r="N15" s="80"/>
      <c r="O15" s="83"/>
      <c r="P15" s="87"/>
      <c r="Q15" s="90"/>
    </row>
    <row r="16" spans="1:17" x14ac:dyDescent="0.6">
      <c r="A16" s="80"/>
      <c r="B16" s="80"/>
      <c r="C16" s="81"/>
      <c r="D16" s="81"/>
      <c r="E16" s="82"/>
      <c r="F16" s="82"/>
      <c r="G16" s="85"/>
      <c r="H16" s="83"/>
      <c r="I16" s="83"/>
      <c r="J16" s="83"/>
      <c r="K16" s="83"/>
      <c r="L16" s="80"/>
      <c r="M16" s="80"/>
      <c r="N16" s="80"/>
      <c r="O16" s="83"/>
      <c r="P16" s="87"/>
      <c r="Q16" s="90"/>
    </row>
    <row r="17" spans="12:13" x14ac:dyDescent="0.6">
      <c r="L17" s="80"/>
      <c r="M17" s="80"/>
    </row>
  </sheetData>
  <autoFilter ref="A1:Q1" xr:uid="{A0499EC0-9336-4A43-84AD-C0713E773EA7}"/>
  <conditionalFormatting sqref="B1:B1048576">
    <cfRule type="duplicateValues" dxfId="13" priority="79"/>
  </conditionalFormatting>
  <conditionalFormatting sqref="E2:F5">
    <cfRule type="expression" priority="138">
      <formula>MOD(E789:E1048371,2)&gt;0</formula>
    </cfRule>
  </conditionalFormatting>
  <conditionalFormatting sqref="E2:F7">
    <cfRule type="expression" dxfId="12" priority="102">
      <formula xml:space="preserve"> MOD(E:E/2,1)&gt;0</formula>
    </cfRule>
  </conditionalFormatting>
  <conditionalFormatting sqref="E6:F7">
    <cfRule type="expression" priority="83">
      <formula>MOD(E795:E1048377,2)&gt;0</formula>
    </cfRule>
    <cfRule type="expression" priority="84">
      <formula>MOD(E794:E1048376,2)&gt;0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52A4-7A4A-4C5E-BE76-619C30AA51BD}">
  <sheetPr codeName="Sheet7">
    <tabColor theme="9" tint="0.59999389629810485"/>
  </sheetPr>
  <dimension ref="A1:R17"/>
  <sheetViews>
    <sheetView topLeftCell="B1" zoomScaleNormal="100" workbookViewId="0">
      <pane xSplit="3" ySplit="1" topLeftCell="G2" activePane="bottomRight" state="frozen"/>
      <selection pane="topRight" activeCell="C25" sqref="C25"/>
      <selection pane="bottomLeft" activeCell="C25" sqref="C25"/>
      <selection pane="bottomRight" activeCell="G4" sqref="G4"/>
    </sheetView>
  </sheetViews>
  <sheetFormatPr defaultColWidth="9.15234375" defaultRowHeight="16.75" x14ac:dyDescent="0.6"/>
  <cols>
    <col min="1" max="1" width="9.15234375" style="8"/>
    <col min="2" max="2" width="14.3046875" style="8" bestFit="1" customWidth="1"/>
    <col min="3" max="3" width="43.53515625" style="19" bestFit="1" customWidth="1"/>
    <col min="4" max="4" width="19.15234375" style="19" customWidth="1"/>
    <col min="5" max="5" width="14.15234375" style="20" hidden="1" customWidth="1"/>
    <col min="6" max="6" width="13.3828125" style="20" hidden="1" customWidth="1"/>
    <col min="7" max="7" width="39.3046875" style="21" customWidth="1"/>
    <col min="8" max="8" width="19.69140625" style="22" customWidth="1"/>
    <col min="9" max="9" width="16.53515625" style="22" customWidth="1"/>
    <col min="10" max="10" width="19.3828125" style="22" bestFit="1" customWidth="1"/>
    <col min="11" max="11" width="25.15234375" style="22" bestFit="1" customWidth="1"/>
    <col min="12" max="12" width="11.3828125" style="22" bestFit="1" customWidth="1"/>
    <col min="13" max="13" width="16.3828125" style="22" bestFit="1" customWidth="1"/>
    <col min="14" max="14" width="28.53515625" style="22" bestFit="1" customWidth="1"/>
    <col min="15" max="15" width="18.84375" style="22" bestFit="1" customWidth="1"/>
    <col min="16" max="16" width="26.3828125" style="23" bestFit="1" customWidth="1"/>
    <col min="17" max="17" width="78.53515625" style="24" bestFit="1" customWidth="1"/>
    <col min="18" max="16384" width="9.15234375" style="8"/>
  </cols>
  <sheetData>
    <row r="1" spans="1:18" x14ac:dyDescent="0.6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56</v>
      </c>
      <c r="O1" s="13" t="s">
        <v>57</v>
      </c>
      <c r="P1" s="14" t="s">
        <v>58</v>
      </c>
      <c r="Q1" s="29" t="s">
        <v>17</v>
      </c>
      <c r="R1" s="80"/>
    </row>
    <row r="2" spans="1:18" ht="36.65" customHeight="1" x14ac:dyDescent="0.6">
      <c r="A2" s="80"/>
      <c r="B2" s="5"/>
      <c r="C2" s="3" t="s">
        <v>59</v>
      </c>
      <c r="D2" s="4" t="s">
        <v>60</v>
      </c>
      <c r="E2" s="78">
        <v>45658</v>
      </c>
      <c r="F2" s="78">
        <v>45900</v>
      </c>
      <c r="G2" s="4" t="s">
        <v>61</v>
      </c>
      <c r="H2" s="16">
        <v>3</v>
      </c>
      <c r="I2" s="17" t="s">
        <v>62</v>
      </c>
      <c r="J2" s="17">
        <v>13</v>
      </c>
      <c r="K2" s="17">
        <v>11</v>
      </c>
      <c r="L2" s="17">
        <v>0</v>
      </c>
      <c r="M2" s="17">
        <v>0</v>
      </c>
      <c r="N2" s="6">
        <f t="shared" ref="N2:P8" si="0">K2/J2</f>
        <v>0.84615384615384615</v>
      </c>
      <c r="O2" s="7">
        <f t="shared" si="0"/>
        <v>0</v>
      </c>
      <c r="P2" s="6" t="e">
        <f>M2/L2</f>
        <v>#DIV/0!</v>
      </c>
      <c r="Q2" s="110" t="s">
        <v>95</v>
      </c>
      <c r="R2" s="80"/>
    </row>
    <row r="3" spans="1:18" ht="36.65" customHeight="1" x14ac:dyDescent="0.6">
      <c r="A3" s="80"/>
      <c r="B3" s="5"/>
      <c r="C3" s="3" t="s">
        <v>88</v>
      </c>
      <c r="D3" s="4" t="s">
        <v>60</v>
      </c>
      <c r="E3" s="78">
        <v>45763</v>
      </c>
      <c r="F3" s="78">
        <v>45930</v>
      </c>
      <c r="G3" s="4" t="s">
        <v>89</v>
      </c>
      <c r="H3" s="16">
        <v>1</v>
      </c>
      <c r="I3" s="17" t="s">
        <v>62</v>
      </c>
      <c r="J3" s="17">
        <v>60</v>
      </c>
      <c r="K3" s="17">
        <v>60</v>
      </c>
      <c r="L3" s="17">
        <v>0</v>
      </c>
      <c r="M3" s="17">
        <v>0</v>
      </c>
      <c r="N3" s="6">
        <f t="shared" si="0"/>
        <v>1</v>
      </c>
      <c r="O3" s="7">
        <f t="shared" si="0"/>
        <v>0</v>
      </c>
      <c r="P3" s="109" t="e">
        <f t="shared" si="0"/>
        <v>#DIV/0!</v>
      </c>
      <c r="Q3" s="107" t="s">
        <v>96</v>
      </c>
      <c r="R3" s="80"/>
    </row>
    <row r="4" spans="1:18" ht="36.65" customHeight="1" x14ac:dyDescent="0.6">
      <c r="A4" s="80"/>
      <c r="B4" s="5"/>
      <c r="C4" s="3" t="s">
        <v>70</v>
      </c>
      <c r="D4" s="4" t="s">
        <v>41</v>
      </c>
      <c r="E4" s="78">
        <v>45658</v>
      </c>
      <c r="F4" s="78">
        <v>46022</v>
      </c>
      <c r="G4" s="4" t="s">
        <v>71</v>
      </c>
      <c r="H4" s="16">
        <v>11</v>
      </c>
      <c r="I4" s="17" t="s">
        <v>62</v>
      </c>
      <c r="J4" s="5">
        <v>13</v>
      </c>
      <c r="K4" s="5">
        <v>13</v>
      </c>
      <c r="L4" s="5">
        <v>0</v>
      </c>
      <c r="M4" s="5">
        <v>0</v>
      </c>
      <c r="N4" s="6">
        <f t="shared" si="0"/>
        <v>1</v>
      </c>
      <c r="O4" s="7">
        <f t="shared" si="0"/>
        <v>0</v>
      </c>
      <c r="P4" s="109" t="e">
        <f t="shared" si="0"/>
        <v>#DIV/0!</v>
      </c>
      <c r="Q4" s="107" t="s">
        <v>97</v>
      </c>
      <c r="R4" s="80"/>
    </row>
    <row r="5" spans="1:18" ht="36.65" customHeight="1" x14ac:dyDescent="0.6">
      <c r="A5" s="84"/>
      <c r="B5" s="5"/>
      <c r="C5" s="3" t="s">
        <v>64</v>
      </c>
      <c r="D5" s="4" t="s">
        <v>41</v>
      </c>
      <c r="E5" s="78">
        <v>45658</v>
      </c>
      <c r="F5" s="78">
        <v>45838</v>
      </c>
      <c r="G5" s="4" t="s">
        <v>65</v>
      </c>
      <c r="H5" s="16">
        <v>39</v>
      </c>
      <c r="I5" s="17" t="s">
        <v>62</v>
      </c>
      <c r="J5" s="5">
        <v>50</v>
      </c>
      <c r="K5" s="5">
        <v>49</v>
      </c>
      <c r="L5" s="5">
        <v>1</v>
      </c>
      <c r="M5" s="5">
        <v>1</v>
      </c>
      <c r="N5" s="6">
        <f t="shared" si="0"/>
        <v>0.98</v>
      </c>
      <c r="O5" s="7">
        <f t="shared" si="0"/>
        <v>2.0408163265306121E-2</v>
      </c>
      <c r="P5" s="109">
        <f t="shared" si="0"/>
        <v>1</v>
      </c>
      <c r="Q5" s="107" t="s">
        <v>98</v>
      </c>
      <c r="R5" s="80"/>
    </row>
    <row r="6" spans="1:18" ht="36.65" customHeight="1" x14ac:dyDescent="0.6">
      <c r="A6" s="80"/>
      <c r="B6" s="5"/>
      <c r="C6" s="3" t="s">
        <v>67</v>
      </c>
      <c r="D6" s="4" t="s">
        <v>41</v>
      </c>
      <c r="E6" s="78">
        <v>45658</v>
      </c>
      <c r="F6" s="78">
        <v>46022</v>
      </c>
      <c r="G6" s="4" t="s">
        <v>42</v>
      </c>
      <c r="H6" s="16">
        <v>16</v>
      </c>
      <c r="I6" s="5" t="s">
        <v>62</v>
      </c>
      <c r="J6" s="5">
        <v>26</v>
      </c>
      <c r="K6" s="5">
        <v>26</v>
      </c>
      <c r="L6" s="5">
        <v>0</v>
      </c>
      <c r="M6" s="5">
        <v>0</v>
      </c>
      <c r="N6" s="6">
        <f t="shared" si="0"/>
        <v>1</v>
      </c>
      <c r="O6" s="7">
        <f t="shared" si="0"/>
        <v>0</v>
      </c>
      <c r="P6" s="109" t="e">
        <f t="shared" si="0"/>
        <v>#DIV/0!</v>
      </c>
      <c r="Q6" s="108" t="s">
        <v>99</v>
      </c>
      <c r="R6" s="80"/>
    </row>
    <row r="7" spans="1:18" ht="36.65" customHeight="1" x14ac:dyDescent="0.6">
      <c r="A7" s="80"/>
      <c r="B7" s="5"/>
      <c r="C7" s="3" t="s">
        <v>100</v>
      </c>
      <c r="D7" s="4" t="s">
        <v>41</v>
      </c>
      <c r="E7" s="78">
        <v>45658</v>
      </c>
      <c r="F7" s="78">
        <v>45838</v>
      </c>
      <c r="G7" s="4" t="s">
        <v>42</v>
      </c>
      <c r="H7" s="16">
        <v>3</v>
      </c>
      <c r="I7" s="74" t="s">
        <v>62</v>
      </c>
      <c r="J7" s="5">
        <v>5</v>
      </c>
      <c r="K7" s="5">
        <v>5</v>
      </c>
      <c r="L7" s="5">
        <v>0</v>
      </c>
      <c r="M7" s="5">
        <v>0</v>
      </c>
      <c r="N7" s="6">
        <f t="shared" si="0"/>
        <v>1</v>
      </c>
      <c r="O7" s="7">
        <f t="shared" si="0"/>
        <v>0</v>
      </c>
      <c r="P7" s="109" t="e">
        <f t="shared" si="0"/>
        <v>#DIV/0!</v>
      </c>
      <c r="Q7" s="108" t="s">
        <v>101</v>
      </c>
      <c r="R7" s="80"/>
    </row>
    <row r="8" spans="1:18" ht="36.65" customHeight="1" x14ac:dyDescent="0.6">
      <c r="A8" s="80"/>
      <c r="B8" s="5"/>
      <c r="C8" s="3" t="s">
        <v>83</v>
      </c>
      <c r="D8" s="4" t="s">
        <v>84</v>
      </c>
      <c r="E8" s="78">
        <v>45658</v>
      </c>
      <c r="F8" s="78">
        <v>46022</v>
      </c>
      <c r="G8" s="4" t="s">
        <v>85</v>
      </c>
      <c r="H8" s="16">
        <v>6</v>
      </c>
      <c r="I8" s="5" t="s">
        <v>62</v>
      </c>
      <c r="J8" s="5">
        <v>131</v>
      </c>
      <c r="K8" s="5">
        <v>131</v>
      </c>
      <c r="L8" s="5">
        <v>23</v>
      </c>
      <c r="M8" s="5">
        <v>23</v>
      </c>
      <c r="N8" s="6">
        <f t="shared" si="0"/>
        <v>1</v>
      </c>
      <c r="O8" s="7">
        <f t="shared" si="0"/>
        <v>0.17557251908396945</v>
      </c>
      <c r="P8" s="6">
        <f t="shared" si="0"/>
        <v>1</v>
      </c>
      <c r="Q8" s="111" t="s">
        <v>102</v>
      </c>
      <c r="R8" s="80"/>
    </row>
    <row r="12" spans="1:18" x14ac:dyDescent="0.6">
      <c r="A12" s="80"/>
      <c r="B12" s="80"/>
      <c r="C12" s="81"/>
      <c r="D12" s="81"/>
      <c r="E12" s="82"/>
      <c r="F12" s="82"/>
      <c r="G12" s="85"/>
      <c r="H12" s="83"/>
      <c r="I12" s="83"/>
      <c r="J12" s="91"/>
      <c r="K12" s="83"/>
      <c r="L12" s="86"/>
      <c r="M12" s="83"/>
      <c r="N12" s="83"/>
      <c r="O12" s="93"/>
      <c r="P12" s="87"/>
      <c r="Q12" s="88"/>
      <c r="R12" s="80"/>
    </row>
    <row r="14" spans="1:18" x14ac:dyDescent="0.6">
      <c r="A14" s="80"/>
      <c r="B14" s="80"/>
      <c r="C14" s="81"/>
      <c r="D14" s="81"/>
      <c r="E14" s="82"/>
      <c r="F14" s="82"/>
      <c r="G14" s="85"/>
      <c r="H14" s="83"/>
      <c r="I14" s="83"/>
      <c r="J14" s="83"/>
      <c r="K14" s="80"/>
      <c r="L14" s="80"/>
      <c r="M14" s="83"/>
      <c r="N14" s="83"/>
      <c r="O14" s="83"/>
      <c r="P14" s="87"/>
      <c r="Q14" s="88"/>
      <c r="R14" s="80"/>
    </row>
    <row r="15" spans="1:18" x14ac:dyDescent="0.6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0"/>
      <c r="L15" s="80"/>
      <c r="M15" s="83"/>
      <c r="N15" s="83"/>
      <c r="O15" s="83"/>
      <c r="P15" s="87"/>
      <c r="Q15" s="88"/>
      <c r="R15" s="80"/>
    </row>
    <row r="16" spans="1:18" x14ac:dyDescent="0.6">
      <c r="A16" s="80"/>
      <c r="B16" s="80"/>
      <c r="C16" s="81"/>
      <c r="D16" s="81"/>
      <c r="E16" s="82"/>
      <c r="F16" s="82"/>
      <c r="G16" s="85"/>
      <c r="H16" s="83"/>
      <c r="I16" s="83"/>
      <c r="J16" s="83"/>
      <c r="K16" s="80"/>
      <c r="L16" s="80"/>
      <c r="M16" s="83"/>
      <c r="N16" s="83"/>
      <c r="O16" s="83"/>
      <c r="P16" s="87"/>
      <c r="Q16" s="88"/>
      <c r="R16" s="80"/>
    </row>
    <row r="17" spans="12:12" x14ac:dyDescent="0.6">
      <c r="L17" s="80"/>
    </row>
  </sheetData>
  <autoFilter ref="A1:Q1" xr:uid="{A0499EC0-9336-4A43-84AD-C0713E773EA7}"/>
  <conditionalFormatting sqref="B1:B1048576">
    <cfRule type="duplicateValues" dxfId="11" priority="9"/>
  </conditionalFormatting>
  <conditionalFormatting sqref="E2:F5 E8:F8">
    <cfRule type="expression" priority="11">
      <formula>MOD(E560:E1048142,2)&gt;0</formula>
    </cfRule>
  </conditionalFormatting>
  <conditionalFormatting sqref="E2:F8">
    <cfRule type="expression" dxfId="10" priority="14">
      <formula xml:space="preserve"> MOD(E:E/2,1)&gt;0</formula>
    </cfRule>
  </conditionalFormatting>
  <conditionalFormatting sqref="E6:F7">
    <cfRule type="expression" priority="12">
      <formula>MOD(E566:E1048148,2)&gt;0</formula>
    </cfRule>
  </conditionalFormatting>
  <conditionalFormatting sqref="E6:F8">
    <cfRule type="expression" priority="10">
      <formula>MOD(E565:E1048147,2)&gt;0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2487-D285-4DF5-AEBC-15F2A26361F1}">
  <sheetPr codeName="Sheet8">
    <tabColor theme="9" tint="0.59999389629810485"/>
  </sheetPr>
  <dimension ref="A1:Q37"/>
  <sheetViews>
    <sheetView topLeftCell="B1" zoomScaleNormal="100" workbookViewId="0">
      <pane xSplit="3" ySplit="1" topLeftCell="G2" activePane="bottomRight" state="frozen"/>
      <selection pane="topRight" activeCell="C25" sqref="C25"/>
      <selection pane="bottomLeft" activeCell="C25" sqref="C25"/>
      <selection pane="bottomRight" activeCell="G4" sqref="G4"/>
    </sheetView>
  </sheetViews>
  <sheetFormatPr defaultColWidth="9.15234375" defaultRowHeight="16.75" x14ac:dyDescent="0.6"/>
  <cols>
    <col min="1" max="1" width="9.15234375" style="8"/>
    <col min="2" max="2" width="14.3046875" style="8" bestFit="1" customWidth="1"/>
    <col min="3" max="3" width="43.53515625" style="19" bestFit="1" customWidth="1"/>
    <col min="4" max="4" width="19.15234375" style="19" customWidth="1"/>
    <col min="5" max="5" width="14.15234375" style="20" hidden="1" customWidth="1"/>
    <col min="6" max="6" width="13.3828125" style="20" hidden="1" customWidth="1"/>
    <col min="7" max="7" width="39.3046875" style="21" customWidth="1"/>
    <col min="8" max="8" width="19.69140625" style="22" customWidth="1"/>
    <col min="9" max="9" width="16.53515625" style="22" customWidth="1"/>
    <col min="10" max="10" width="19.3828125" style="22" bestFit="1" customWidth="1"/>
    <col min="11" max="11" width="25.15234375" style="22" bestFit="1" customWidth="1"/>
    <col min="12" max="12" width="11.3828125" style="22" bestFit="1" customWidth="1"/>
    <col min="13" max="13" width="16.3828125" style="22" bestFit="1" customWidth="1"/>
    <col min="14" max="14" width="28.53515625" style="22" bestFit="1" customWidth="1"/>
    <col min="15" max="15" width="18.84375" style="22" bestFit="1" customWidth="1"/>
    <col min="16" max="16" width="26.3828125" style="23" bestFit="1" customWidth="1"/>
    <col min="17" max="17" width="61.53515625" style="24" customWidth="1"/>
    <col min="18" max="16384" width="9.15234375" style="8"/>
  </cols>
  <sheetData>
    <row r="1" spans="1:17" x14ac:dyDescent="0.6">
      <c r="A1" s="80"/>
      <c r="B1" s="9" t="s">
        <v>0</v>
      </c>
      <c r="C1" s="9" t="s">
        <v>1</v>
      </c>
      <c r="D1" s="9" t="s">
        <v>2</v>
      </c>
      <c r="E1" s="10" t="s">
        <v>3</v>
      </c>
      <c r="F1" s="11" t="s">
        <v>4</v>
      </c>
      <c r="G1" s="1" t="s">
        <v>5</v>
      </c>
      <c r="H1" s="11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3" t="s">
        <v>56</v>
      </c>
      <c r="O1" s="13" t="s">
        <v>57</v>
      </c>
      <c r="P1" s="14" t="s">
        <v>58</v>
      </c>
      <c r="Q1" s="29" t="s">
        <v>17</v>
      </c>
    </row>
    <row r="2" spans="1:17" ht="33" customHeight="1" x14ac:dyDescent="0.6">
      <c r="A2" s="80"/>
      <c r="B2" s="5"/>
      <c r="C2" s="3" t="s">
        <v>59</v>
      </c>
      <c r="D2" s="4" t="s">
        <v>60</v>
      </c>
      <c r="E2" s="78">
        <v>45658</v>
      </c>
      <c r="F2" s="78">
        <v>45900</v>
      </c>
      <c r="G2" s="4" t="s">
        <v>61</v>
      </c>
      <c r="H2" s="16">
        <v>3</v>
      </c>
      <c r="I2" s="17" t="s">
        <v>62</v>
      </c>
      <c r="J2" s="17">
        <v>11</v>
      </c>
      <c r="K2" s="17">
        <v>9</v>
      </c>
      <c r="L2" s="17">
        <v>2</v>
      </c>
      <c r="M2" s="17">
        <v>2</v>
      </c>
      <c r="N2" s="6">
        <f t="shared" ref="N2:P9" si="0">K2/J2</f>
        <v>0.81818181818181823</v>
      </c>
      <c r="O2" s="7">
        <f t="shared" si="0"/>
        <v>0.22222222222222221</v>
      </c>
      <c r="P2" s="6">
        <f>M2/L2</f>
        <v>1</v>
      </c>
      <c r="Q2" s="3" t="s">
        <v>103</v>
      </c>
    </row>
    <row r="3" spans="1:17" ht="33" customHeight="1" x14ac:dyDescent="0.6">
      <c r="A3" s="80"/>
      <c r="B3" s="5"/>
      <c r="C3" s="3" t="s">
        <v>88</v>
      </c>
      <c r="D3" s="4" t="s">
        <v>60</v>
      </c>
      <c r="E3" s="78">
        <v>45763</v>
      </c>
      <c r="F3" s="78">
        <v>45930</v>
      </c>
      <c r="G3" s="4" t="s">
        <v>89</v>
      </c>
      <c r="H3" s="16">
        <v>1</v>
      </c>
      <c r="I3" s="17" t="s">
        <v>62</v>
      </c>
      <c r="J3" s="17">
        <v>83</v>
      </c>
      <c r="K3" s="17">
        <v>82</v>
      </c>
      <c r="L3" s="17">
        <v>0</v>
      </c>
      <c r="M3" s="17">
        <v>0</v>
      </c>
      <c r="N3" s="6">
        <f t="shared" si="0"/>
        <v>0.98795180722891562</v>
      </c>
      <c r="O3" s="7">
        <f t="shared" si="0"/>
        <v>0</v>
      </c>
      <c r="P3" s="6" t="e">
        <f t="shared" si="0"/>
        <v>#DIV/0!</v>
      </c>
      <c r="Q3" s="3" t="s">
        <v>104</v>
      </c>
    </row>
    <row r="4" spans="1:17" ht="33" customHeight="1" x14ac:dyDescent="0.6">
      <c r="A4" s="80"/>
      <c r="B4" s="5"/>
      <c r="C4" s="3" t="s">
        <v>70</v>
      </c>
      <c r="D4" s="4" t="s">
        <v>41</v>
      </c>
      <c r="E4" s="78">
        <v>45658</v>
      </c>
      <c r="F4" s="78">
        <v>46022</v>
      </c>
      <c r="G4" s="4" t="s">
        <v>71</v>
      </c>
      <c r="H4" s="16">
        <v>11</v>
      </c>
      <c r="I4" s="17" t="s">
        <v>62</v>
      </c>
      <c r="J4" s="5">
        <v>5</v>
      </c>
      <c r="K4" s="5">
        <v>5</v>
      </c>
      <c r="L4" s="5">
        <v>0</v>
      </c>
      <c r="M4" s="5">
        <v>0</v>
      </c>
      <c r="N4" s="6">
        <f t="shared" si="0"/>
        <v>1</v>
      </c>
      <c r="O4" s="7">
        <f t="shared" si="0"/>
        <v>0</v>
      </c>
      <c r="P4" s="6" t="e">
        <f t="shared" si="0"/>
        <v>#DIV/0!</v>
      </c>
      <c r="Q4" s="3" t="s">
        <v>105</v>
      </c>
    </row>
    <row r="5" spans="1:17" ht="33" customHeight="1" x14ac:dyDescent="0.6">
      <c r="A5" s="84"/>
      <c r="B5" s="5"/>
      <c r="C5" s="3" t="s">
        <v>64</v>
      </c>
      <c r="D5" s="4" t="s">
        <v>41</v>
      </c>
      <c r="E5" s="78">
        <v>45658</v>
      </c>
      <c r="F5" s="78">
        <v>45838</v>
      </c>
      <c r="G5" s="4" t="s">
        <v>65</v>
      </c>
      <c r="H5" s="16">
        <v>39</v>
      </c>
      <c r="I5" s="17" t="s">
        <v>62</v>
      </c>
      <c r="J5" s="5">
        <v>193</v>
      </c>
      <c r="K5" s="5">
        <v>185</v>
      </c>
      <c r="L5" s="5">
        <v>20</v>
      </c>
      <c r="M5" s="5">
        <v>20</v>
      </c>
      <c r="N5" s="6">
        <f t="shared" si="0"/>
        <v>0.95854922279792742</v>
      </c>
      <c r="O5" s="7">
        <f t="shared" si="0"/>
        <v>0.10810810810810811</v>
      </c>
      <c r="P5" s="6">
        <f t="shared" si="0"/>
        <v>1</v>
      </c>
      <c r="Q5" s="3" t="s">
        <v>106</v>
      </c>
    </row>
    <row r="6" spans="1:17" ht="33" customHeight="1" x14ac:dyDescent="0.6">
      <c r="A6" s="80"/>
      <c r="B6" s="5"/>
      <c r="C6" s="3" t="s">
        <v>67</v>
      </c>
      <c r="D6" s="4" t="s">
        <v>41</v>
      </c>
      <c r="E6" s="78">
        <v>45658</v>
      </c>
      <c r="F6" s="78">
        <v>46022</v>
      </c>
      <c r="G6" s="4" t="s">
        <v>42</v>
      </c>
      <c r="H6" s="16">
        <v>16</v>
      </c>
      <c r="I6" s="5" t="s">
        <v>62</v>
      </c>
      <c r="J6" s="5">
        <v>58</v>
      </c>
      <c r="K6" s="5">
        <v>58</v>
      </c>
      <c r="L6" s="5">
        <v>0</v>
      </c>
      <c r="M6" s="5">
        <v>0</v>
      </c>
      <c r="N6" s="6">
        <f t="shared" si="0"/>
        <v>1</v>
      </c>
      <c r="O6" s="7">
        <f t="shared" si="0"/>
        <v>0</v>
      </c>
      <c r="P6" s="6" t="e">
        <f t="shared" si="0"/>
        <v>#DIV/0!</v>
      </c>
      <c r="Q6" s="3" t="s">
        <v>107</v>
      </c>
    </row>
    <row r="7" spans="1:17" ht="33" customHeight="1" x14ac:dyDescent="0.6">
      <c r="A7" s="80"/>
      <c r="B7" s="5"/>
      <c r="C7" s="3" t="s">
        <v>100</v>
      </c>
      <c r="D7" s="4" t="s">
        <v>41</v>
      </c>
      <c r="E7" s="78">
        <v>45658</v>
      </c>
      <c r="F7" s="78">
        <v>45838</v>
      </c>
      <c r="G7" s="4" t="s">
        <v>42</v>
      </c>
      <c r="H7" s="16">
        <v>3</v>
      </c>
      <c r="I7" s="74" t="s">
        <v>62</v>
      </c>
      <c r="J7" s="5">
        <v>14</v>
      </c>
      <c r="K7" s="5">
        <v>13</v>
      </c>
      <c r="L7" s="5">
        <v>0</v>
      </c>
      <c r="M7" s="5">
        <v>0</v>
      </c>
      <c r="N7" s="6">
        <f t="shared" si="0"/>
        <v>0.9285714285714286</v>
      </c>
      <c r="O7" s="7">
        <f t="shared" si="0"/>
        <v>0</v>
      </c>
      <c r="P7" s="6" t="e">
        <f t="shared" si="0"/>
        <v>#DIV/0!</v>
      </c>
      <c r="Q7" s="3" t="s">
        <v>108</v>
      </c>
    </row>
    <row r="8" spans="1:17" ht="33" customHeight="1" x14ac:dyDescent="0.6">
      <c r="A8" s="80"/>
      <c r="B8" s="5"/>
      <c r="C8" s="3" t="s">
        <v>83</v>
      </c>
      <c r="D8" s="4" t="s">
        <v>84</v>
      </c>
      <c r="E8" s="78">
        <v>45658</v>
      </c>
      <c r="F8" s="78">
        <v>46022</v>
      </c>
      <c r="G8" s="4" t="s">
        <v>85</v>
      </c>
      <c r="H8" s="16">
        <v>6</v>
      </c>
      <c r="I8" s="5" t="s">
        <v>62</v>
      </c>
      <c r="J8" s="5">
        <v>148</v>
      </c>
      <c r="K8" s="5">
        <v>143</v>
      </c>
      <c r="L8" s="5">
        <v>0</v>
      </c>
      <c r="M8" s="5">
        <v>0</v>
      </c>
      <c r="N8" s="6">
        <f t="shared" si="0"/>
        <v>0.96621621621621623</v>
      </c>
      <c r="O8" s="7">
        <f t="shared" si="0"/>
        <v>0</v>
      </c>
      <c r="P8" s="6" t="e">
        <f t="shared" si="0"/>
        <v>#DIV/0!</v>
      </c>
      <c r="Q8" s="3" t="s">
        <v>109</v>
      </c>
    </row>
    <row r="9" spans="1:17" ht="33" customHeight="1" x14ac:dyDescent="0.6">
      <c r="A9" s="80"/>
      <c r="B9" s="77"/>
      <c r="C9" s="67" t="s">
        <v>110</v>
      </c>
      <c r="D9" s="67" t="s">
        <v>111</v>
      </c>
      <c r="E9" s="74"/>
      <c r="F9" s="74"/>
      <c r="G9" s="67" t="s">
        <v>112</v>
      </c>
      <c r="H9" s="74">
        <v>9</v>
      </c>
      <c r="I9" s="74" t="s">
        <v>62</v>
      </c>
      <c r="J9" s="74">
        <v>44</v>
      </c>
      <c r="K9" s="74">
        <v>40</v>
      </c>
      <c r="L9" s="74">
        <v>1</v>
      </c>
      <c r="M9" s="74">
        <v>1</v>
      </c>
      <c r="N9" s="6">
        <f t="shared" si="0"/>
        <v>0.90909090909090906</v>
      </c>
      <c r="O9" s="7">
        <f t="shared" si="0"/>
        <v>2.5000000000000001E-2</v>
      </c>
      <c r="P9" s="94">
        <f t="shared" si="0"/>
        <v>1</v>
      </c>
      <c r="Q9" s="68" t="s">
        <v>113</v>
      </c>
    </row>
    <row r="12" spans="1:17" x14ac:dyDescent="0.6">
      <c r="A12" s="80"/>
      <c r="B12" s="80"/>
      <c r="C12" s="81"/>
      <c r="D12" s="81"/>
      <c r="E12" s="82"/>
      <c r="F12" s="82"/>
      <c r="G12" s="85"/>
      <c r="H12" s="83"/>
      <c r="I12" s="83"/>
      <c r="J12" s="83"/>
      <c r="K12" s="80"/>
      <c r="L12" s="80"/>
      <c r="M12" s="83"/>
      <c r="N12" s="83"/>
      <c r="O12" s="83"/>
      <c r="P12" s="87"/>
      <c r="Q12" s="88"/>
    </row>
    <row r="13" spans="1:17" x14ac:dyDescent="0.6">
      <c r="A13" s="80"/>
      <c r="B13" s="80"/>
      <c r="C13" s="81"/>
      <c r="D13" s="81"/>
      <c r="E13" s="82"/>
      <c r="F13" s="82"/>
      <c r="G13" s="85"/>
      <c r="H13" s="83"/>
      <c r="I13" s="83"/>
      <c r="J13" s="83"/>
      <c r="K13" s="80"/>
      <c r="L13" s="80"/>
      <c r="M13" s="83"/>
      <c r="N13" s="83"/>
      <c r="O13" s="83"/>
      <c r="P13" s="87"/>
      <c r="Q13" s="88"/>
    </row>
    <row r="14" spans="1:17" x14ac:dyDescent="0.6">
      <c r="A14" s="80"/>
      <c r="B14" s="80"/>
      <c r="C14" s="81"/>
      <c r="D14" s="81"/>
      <c r="E14" s="82"/>
      <c r="F14" s="82"/>
      <c r="G14" s="85"/>
      <c r="H14" s="83"/>
      <c r="I14" s="83"/>
      <c r="J14" s="83"/>
      <c r="K14" s="80"/>
      <c r="L14" s="80"/>
      <c r="M14" s="83"/>
      <c r="N14" s="83"/>
      <c r="O14" s="83"/>
      <c r="P14" s="87"/>
      <c r="Q14" s="88"/>
    </row>
    <row r="15" spans="1:17" x14ac:dyDescent="0.6">
      <c r="A15" s="80"/>
      <c r="B15" s="80"/>
      <c r="C15" s="81"/>
      <c r="D15" s="81"/>
      <c r="E15" s="82"/>
      <c r="F15" s="82"/>
      <c r="G15" s="85"/>
      <c r="H15" s="83"/>
      <c r="I15" s="83"/>
      <c r="J15" s="83"/>
      <c r="K15" s="83"/>
      <c r="L15" s="80"/>
      <c r="M15" s="83"/>
      <c r="N15" s="83"/>
      <c r="O15" s="83"/>
      <c r="P15" s="87"/>
      <c r="Q15" s="88"/>
    </row>
    <row r="22" spans="15:16" x14ac:dyDescent="0.6">
      <c r="O22" s="80"/>
      <c r="P22" s="80"/>
    </row>
    <row r="24" spans="15:16" x14ac:dyDescent="0.6">
      <c r="O24" s="93"/>
      <c r="P24" s="87"/>
    </row>
    <row r="25" spans="15:16" x14ac:dyDescent="0.6">
      <c r="O25" s="80"/>
      <c r="P25" s="87"/>
    </row>
    <row r="29" spans="15:16" x14ac:dyDescent="0.6">
      <c r="O29" s="80"/>
      <c r="P29" s="80"/>
    </row>
    <row r="30" spans="15:16" x14ac:dyDescent="0.6">
      <c r="O30" s="80"/>
      <c r="P30" s="87"/>
    </row>
    <row r="33" spans="15:16" x14ac:dyDescent="0.6">
      <c r="O33" s="28"/>
      <c r="P33" s="80"/>
    </row>
    <row r="34" spans="15:16" x14ac:dyDescent="0.6">
      <c r="O34" s="28"/>
      <c r="P34" s="80"/>
    </row>
    <row r="35" spans="15:16" x14ac:dyDescent="0.6">
      <c r="O35" s="28"/>
      <c r="P35" s="80"/>
    </row>
    <row r="36" spans="15:16" x14ac:dyDescent="0.6">
      <c r="O36" s="28"/>
      <c r="P36" s="87"/>
    </row>
    <row r="37" spans="15:16" x14ac:dyDescent="0.6">
      <c r="O37" s="28"/>
      <c r="P37" s="87"/>
    </row>
  </sheetData>
  <autoFilter ref="A1:Q1" xr:uid="{A0499EC0-9336-4A43-84AD-C0713E773EA7}"/>
  <conditionalFormatting sqref="B1:B1048576">
    <cfRule type="duplicateValues" dxfId="9" priority="1"/>
  </conditionalFormatting>
  <conditionalFormatting sqref="E2:F5 E8:F8">
    <cfRule type="expression" priority="3">
      <formula>MOD(E557:E1048139,2)&gt;0</formula>
    </cfRule>
  </conditionalFormatting>
  <conditionalFormatting sqref="E2:F8">
    <cfRule type="expression" dxfId="8" priority="5">
      <formula xml:space="preserve"> MOD(E:E/2,1)&gt;0</formula>
    </cfRule>
  </conditionalFormatting>
  <conditionalFormatting sqref="E6:F7">
    <cfRule type="expression" priority="4">
      <formula>MOD(E563:E1048145,2)&gt;0</formula>
    </cfRule>
  </conditionalFormatting>
  <conditionalFormatting sqref="E6:F8">
    <cfRule type="expression" priority="2">
      <formula>MOD(E562:E1048144,2)&gt;0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929-6F87-40E5-8C50-BF5401947C28}">
  <sheetPr codeName="Sheet9">
    <tabColor theme="9" tint="0.59999389629810485"/>
  </sheetPr>
  <dimension ref="A1:R35"/>
  <sheetViews>
    <sheetView topLeftCell="B1" zoomScaleNormal="100" workbookViewId="0">
      <pane xSplit="3" ySplit="1" topLeftCell="G2" activePane="bottomRight" state="frozen"/>
      <selection pane="topRight" activeCell="C25" sqref="C25"/>
      <selection pane="bottomLeft" activeCell="C25" sqref="C25"/>
      <selection pane="bottomRight" activeCell="B8" sqref="B8"/>
    </sheetView>
  </sheetViews>
  <sheetFormatPr defaultColWidth="9.15234375" defaultRowHeight="15" x14ac:dyDescent="0.35"/>
  <cols>
    <col min="1" max="1" width="9.15234375" style="37"/>
    <col min="2" max="2" width="15.69140625" style="37" bestFit="1" customWidth="1"/>
    <col min="3" max="3" width="45.15234375" style="39" bestFit="1" customWidth="1"/>
    <col min="4" max="4" width="20.69140625" style="39" bestFit="1" customWidth="1"/>
    <col min="5" max="5" width="16.3046875" style="40" hidden="1" customWidth="1"/>
    <col min="6" max="6" width="14.84375" style="40" hidden="1" customWidth="1"/>
    <col min="7" max="7" width="41.15234375" style="41" bestFit="1" customWidth="1"/>
    <col min="8" max="8" width="21.69140625" style="42" bestFit="1" customWidth="1"/>
    <col min="9" max="9" width="18.3828125" style="42" bestFit="1" customWidth="1"/>
    <col min="10" max="10" width="21.3828125" style="42" bestFit="1" customWidth="1"/>
    <col min="11" max="11" width="27.3046875" style="42" bestFit="1" customWidth="1"/>
    <col min="12" max="12" width="12.3046875" style="42" bestFit="1" customWidth="1"/>
    <col min="13" max="13" width="18.15234375" style="42" bestFit="1" customWidth="1"/>
    <col min="14" max="14" width="29" style="42" bestFit="1" customWidth="1"/>
    <col min="15" max="15" width="20.69140625" style="42" bestFit="1" customWidth="1"/>
    <col min="16" max="16" width="29.69140625" style="42" bestFit="1" customWidth="1"/>
    <col min="17" max="17" width="140.15234375" style="73" bestFit="1" customWidth="1"/>
    <col min="18" max="18" width="47.3828125" style="44" customWidth="1"/>
    <col min="19" max="16384" width="9.15234375" style="37"/>
  </cols>
  <sheetData>
    <row r="1" spans="1:18" ht="37.5" customHeight="1" x14ac:dyDescent="0.35">
      <c r="B1" s="47" t="s">
        <v>0</v>
      </c>
      <c r="C1" s="47" t="s">
        <v>1</v>
      </c>
      <c r="D1" s="47" t="s">
        <v>2</v>
      </c>
      <c r="E1" s="48" t="s">
        <v>3</v>
      </c>
      <c r="F1" s="49" t="s">
        <v>4</v>
      </c>
      <c r="G1" s="50" t="s">
        <v>5</v>
      </c>
      <c r="H1" s="49" t="s">
        <v>6</v>
      </c>
      <c r="I1" s="51" t="s">
        <v>7</v>
      </c>
      <c r="J1" s="51" t="s">
        <v>10</v>
      </c>
      <c r="K1" s="51" t="s">
        <v>11</v>
      </c>
      <c r="L1" s="51" t="s">
        <v>12</v>
      </c>
      <c r="M1" s="51" t="s">
        <v>13</v>
      </c>
      <c r="N1" s="51" t="s">
        <v>56</v>
      </c>
      <c r="O1" s="52" t="s">
        <v>57</v>
      </c>
      <c r="P1" s="52" t="s">
        <v>58</v>
      </c>
      <c r="Q1" s="53" t="s">
        <v>17</v>
      </c>
      <c r="R1" s="54"/>
    </row>
    <row r="2" spans="1:18" ht="37.5" customHeight="1" x14ac:dyDescent="0.35">
      <c r="B2" s="55"/>
      <c r="C2" s="56" t="s">
        <v>59</v>
      </c>
      <c r="D2" s="57" t="s">
        <v>60</v>
      </c>
      <c r="E2" s="58">
        <v>45658</v>
      </c>
      <c r="F2" s="58">
        <v>45900</v>
      </c>
      <c r="G2" s="57" t="s">
        <v>61</v>
      </c>
      <c r="H2" s="59">
        <v>2</v>
      </c>
      <c r="I2" s="60" t="s">
        <v>62</v>
      </c>
      <c r="J2" s="60">
        <v>10</v>
      </c>
      <c r="K2" s="60">
        <v>9</v>
      </c>
      <c r="L2" s="60">
        <v>1</v>
      </c>
      <c r="M2" s="60">
        <v>1</v>
      </c>
      <c r="N2" s="75">
        <f t="shared" ref="N2:P9" si="0">K2/J2</f>
        <v>0.9</v>
      </c>
      <c r="O2" s="62">
        <f t="shared" si="0"/>
        <v>0.1111111111111111</v>
      </c>
      <c r="P2" s="62">
        <f>M2/L2</f>
        <v>1</v>
      </c>
      <c r="Q2" s="71" t="s">
        <v>114</v>
      </c>
      <c r="R2" s="56"/>
    </row>
    <row r="3" spans="1:18" ht="37.5" customHeight="1" x14ac:dyDescent="0.35">
      <c r="B3" s="55"/>
      <c r="C3" s="56" t="s">
        <v>88</v>
      </c>
      <c r="D3" s="57" t="s">
        <v>60</v>
      </c>
      <c r="E3" s="58">
        <v>45763</v>
      </c>
      <c r="F3" s="58">
        <v>45930</v>
      </c>
      <c r="G3" s="57" t="s">
        <v>89</v>
      </c>
      <c r="H3" s="59">
        <v>1</v>
      </c>
      <c r="I3" s="60" t="s">
        <v>62</v>
      </c>
      <c r="J3" s="60">
        <v>109</v>
      </c>
      <c r="K3" s="55">
        <v>105</v>
      </c>
      <c r="L3" s="55">
        <v>0</v>
      </c>
      <c r="M3" s="55">
        <v>0</v>
      </c>
      <c r="N3" s="76">
        <f t="shared" si="0"/>
        <v>0.96330275229357798</v>
      </c>
      <c r="O3" s="62">
        <f t="shared" si="0"/>
        <v>0</v>
      </c>
      <c r="P3" s="62" t="e">
        <f t="shared" si="0"/>
        <v>#DIV/0!</v>
      </c>
      <c r="Q3" s="71" t="s">
        <v>115</v>
      </c>
      <c r="R3" s="56"/>
    </row>
    <row r="4" spans="1:18" ht="37.5" customHeight="1" x14ac:dyDescent="0.35">
      <c r="A4" s="38"/>
      <c r="B4" s="55"/>
      <c r="C4" s="56" t="s">
        <v>70</v>
      </c>
      <c r="D4" s="57" t="s">
        <v>41</v>
      </c>
      <c r="E4" s="58">
        <v>45658</v>
      </c>
      <c r="F4" s="58">
        <v>46022</v>
      </c>
      <c r="G4" s="57" t="s">
        <v>71</v>
      </c>
      <c r="H4" s="59">
        <v>11</v>
      </c>
      <c r="I4" s="60" t="s">
        <v>62</v>
      </c>
      <c r="J4" s="60">
        <v>55</v>
      </c>
      <c r="K4" s="55">
        <v>50</v>
      </c>
      <c r="L4" s="55">
        <v>0</v>
      </c>
      <c r="M4" s="55">
        <v>0</v>
      </c>
      <c r="N4" s="76">
        <f t="shared" si="0"/>
        <v>0.90909090909090906</v>
      </c>
      <c r="O4" s="62">
        <f t="shared" si="0"/>
        <v>0</v>
      </c>
      <c r="P4" s="62" t="e">
        <f t="shared" si="0"/>
        <v>#DIV/0!</v>
      </c>
      <c r="Q4" s="71" t="s">
        <v>116</v>
      </c>
      <c r="R4" s="56"/>
    </row>
    <row r="5" spans="1:18" ht="37.5" customHeight="1" x14ac:dyDescent="0.35">
      <c r="B5" s="55"/>
      <c r="C5" s="56" t="s">
        <v>64</v>
      </c>
      <c r="D5" s="57" t="s">
        <v>41</v>
      </c>
      <c r="E5" s="58">
        <v>45658</v>
      </c>
      <c r="F5" s="58">
        <v>45838</v>
      </c>
      <c r="G5" s="57" t="s">
        <v>65</v>
      </c>
      <c r="H5" s="59">
        <v>39</v>
      </c>
      <c r="I5" s="55" t="s">
        <v>62</v>
      </c>
      <c r="J5" s="60">
        <v>238</v>
      </c>
      <c r="K5" s="55">
        <v>231</v>
      </c>
      <c r="L5" s="55">
        <v>6</v>
      </c>
      <c r="M5" s="55">
        <v>6</v>
      </c>
      <c r="N5" s="76">
        <f t="shared" si="0"/>
        <v>0.97058823529411764</v>
      </c>
      <c r="O5" s="62">
        <f t="shared" si="0"/>
        <v>2.5974025974025976E-2</v>
      </c>
      <c r="P5" s="62">
        <f t="shared" si="0"/>
        <v>1</v>
      </c>
      <c r="Q5" s="71" t="s">
        <v>117</v>
      </c>
      <c r="R5" s="56"/>
    </row>
    <row r="6" spans="1:18" ht="37.5" customHeight="1" x14ac:dyDescent="0.35">
      <c r="B6" s="55"/>
      <c r="C6" s="56" t="s">
        <v>67</v>
      </c>
      <c r="D6" s="57" t="s">
        <v>41</v>
      </c>
      <c r="E6" s="58">
        <v>45658</v>
      </c>
      <c r="F6" s="58">
        <v>46022</v>
      </c>
      <c r="G6" s="57" t="s">
        <v>42</v>
      </c>
      <c r="H6" s="59">
        <v>16</v>
      </c>
      <c r="I6" s="55" t="s">
        <v>62</v>
      </c>
      <c r="J6" s="60">
        <v>73</v>
      </c>
      <c r="K6" s="55">
        <v>71</v>
      </c>
      <c r="L6" s="55">
        <v>2</v>
      </c>
      <c r="M6" s="55">
        <v>2</v>
      </c>
      <c r="N6" s="76">
        <f t="shared" si="0"/>
        <v>0.9726027397260274</v>
      </c>
      <c r="O6" s="62">
        <f t="shared" si="0"/>
        <v>2.8169014084507043E-2</v>
      </c>
      <c r="P6" s="62">
        <f t="shared" si="0"/>
        <v>1</v>
      </c>
      <c r="Q6" s="71" t="s">
        <v>118</v>
      </c>
      <c r="R6" s="56"/>
    </row>
    <row r="7" spans="1:18" ht="37.5" customHeight="1" x14ac:dyDescent="0.35">
      <c r="B7" s="55"/>
      <c r="C7" s="56" t="s">
        <v>100</v>
      </c>
      <c r="D7" s="57" t="s">
        <v>41</v>
      </c>
      <c r="E7" s="58">
        <v>45658</v>
      </c>
      <c r="F7" s="58">
        <v>45838</v>
      </c>
      <c r="G7" s="57" t="s">
        <v>42</v>
      </c>
      <c r="H7" s="59">
        <v>3</v>
      </c>
      <c r="I7" s="63" t="s">
        <v>62</v>
      </c>
      <c r="J7" s="60">
        <v>6</v>
      </c>
      <c r="K7" s="55">
        <v>6</v>
      </c>
      <c r="L7" s="55">
        <v>0</v>
      </c>
      <c r="M7" s="55">
        <v>0</v>
      </c>
      <c r="N7" s="76">
        <f t="shared" si="0"/>
        <v>1</v>
      </c>
      <c r="O7" s="62">
        <f t="shared" si="0"/>
        <v>0</v>
      </c>
      <c r="P7" s="62" t="e">
        <f t="shared" si="0"/>
        <v>#DIV/0!</v>
      </c>
      <c r="Q7" s="71" t="s">
        <v>119</v>
      </c>
      <c r="R7" s="56"/>
    </row>
    <row r="8" spans="1:18" ht="37.5" customHeight="1" x14ac:dyDescent="0.35">
      <c r="B8" s="55"/>
      <c r="C8" s="56" t="s">
        <v>83</v>
      </c>
      <c r="D8" s="57" t="s">
        <v>84</v>
      </c>
      <c r="E8" s="58">
        <v>45658</v>
      </c>
      <c r="F8" s="58">
        <v>46022</v>
      </c>
      <c r="G8" s="57" t="s">
        <v>85</v>
      </c>
      <c r="H8" s="59">
        <v>6</v>
      </c>
      <c r="I8" s="55" t="s">
        <v>62</v>
      </c>
      <c r="J8" s="60">
        <v>147</v>
      </c>
      <c r="K8" s="55">
        <v>147</v>
      </c>
      <c r="L8" s="55">
        <v>20</v>
      </c>
      <c r="M8" s="55">
        <v>20</v>
      </c>
      <c r="N8" s="76">
        <f t="shared" si="0"/>
        <v>1</v>
      </c>
      <c r="O8" s="62">
        <f t="shared" si="0"/>
        <v>0.1360544217687075</v>
      </c>
      <c r="P8" s="62">
        <f t="shared" si="0"/>
        <v>1</v>
      </c>
      <c r="Q8" s="71" t="s">
        <v>120</v>
      </c>
      <c r="R8" s="36"/>
    </row>
    <row r="9" spans="1:18" ht="37.5" customHeight="1" x14ac:dyDescent="0.35">
      <c r="B9" s="64"/>
      <c r="C9" s="65" t="s">
        <v>110</v>
      </c>
      <c r="D9" s="65" t="s">
        <v>111</v>
      </c>
      <c r="E9" s="63"/>
      <c r="F9" s="63"/>
      <c r="G9" s="65" t="s">
        <v>112</v>
      </c>
      <c r="H9" s="63">
        <v>9</v>
      </c>
      <c r="I9" s="63" t="s">
        <v>62</v>
      </c>
      <c r="J9" s="60">
        <v>18</v>
      </c>
      <c r="K9" s="63">
        <v>18</v>
      </c>
      <c r="L9" s="63">
        <v>0</v>
      </c>
      <c r="M9" s="63">
        <v>0</v>
      </c>
      <c r="N9" s="66">
        <f t="shared" si="0"/>
        <v>1</v>
      </c>
      <c r="O9" s="62">
        <f t="shared" si="0"/>
        <v>0</v>
      </c>
      <c r="P9" s="62" t="e">
        <f t="shared" si="0"/>
        <v>#DIV/0!</v>
      </c>
      <c r="Q9" s="72" t="s">
        <v>121</v>
      </c>
      <c r="R9" s="56"/>
    </row>
    <row r="10" spans="1:18" x14ac:dyDescent="0.35">
      <c r="L10" s="37"/>
      <c r="M10" s="37"/>
    </row>
    <row r="11" spans="1:18" x14ac:dyDescent="0.35">
      <c r="L11" s="37"/>
      <c r="M11" s="37"/>
    </row>
    <row r="12" spans="1:18" x14ac:dyDescent="0.35">
      <c r="L12" s="37"/>
      <c r="M12" s="37"/>
    </row>
    <row r="13" spans="1:18" x14ac:dyDescent="0.35">
      <c r="M13" s="37"/>
    </row>
    <row r="20" spans="1:17" s="44" customFormat="1" x14ac:dyDescent="0.35">
      <c r="A20" s="37"/>
      <c r="B20" s="37"/>
      <c r="C20" s="39"/>
      <c r="D20" s="39"/>
      <c r="E20" s="40"/>
      <c r="F20" s="40"/>
      <c r="G20" s="41"/>
      <c r="H20" s="42"/>
      <c r="I20" s="42"/>
      <c r="J20" s="42"/>
      <c r="K20" s="42"/>
      <c r="L20" s="42"/>
      <c r="M20" s="42"/>
      <c r="N20" s="42"/>
      <c r="O20" s="42"/>
      <c r="P20" s="37"/>
      <c r="Q20" s="39"/>
    </row>
    <row r="22" spans="1:17" s="44" customFormat="1" x14ac:dyDescent="0.35">
      <c r="A22" s="37"/>
      <c r="B22" s="37"/>
      <c r="C22" s="39"/>
      <c r="D22" s="39"/>
      <c r="E22" s="40"/>
      <c r="F22" s="40"/>
      <c r="G22" s="41"/>
      <c r="H22" s="42"/>
      <c r="I22" s="42"/>
      <c r="J22" s="42"/>
      <c r="K22" s="42"/>
      <c r="L22" s="42"/>
      <c r="M22" s="42"/>
      <c r="N22" s="42"/>
      <c r="O22" s="42"/>
      <c r="P22" s="45"/>
      <c r="Q22" s="73"/>
    </row>
    <row r="23" spans="1:17" s="44" customFormat="1" x14ac:dyDescent="0.35">
      <c r="A23" s="37"/>
      <c r="B23" s="37"/>
      <c r="C23" s="39"/>
      <c r="D23" s="39"/>
      <c r="E23" s="40"/>
      <c r="F23" s="40"/>
      <c r="G23" s="41"/>
      <c r="H23" s="42"/>
      <c r="I23" s="42"/>
      <c r="J23" s="42"/>
      <c r="K23" s="42"/>
      <c r="L23" s="42"/>
      <c r="M23" s="42"/>
      <c r="N23" s="42"/>
      <c r="O23" s="42"/>
      <c r="P23" s="37"/>
      <c r="Q23" s="73"/>
    </row>
    <row r="27" spans="1:17" s="44" customFormat="1" x14ac:dyDescent="0.35">
      <c r="A27" s="37"/>
      <c r="B27" s="37"/>
      <c r="C27" s="39"/>
      <c r="D27" s="39"/>
      <c r="E27" s="40"/>
      <c r="F27" s="40"/>
      <c r="G27" s="41"/>
      <c r="H27" s="42"/>
      <c r="I27" s="42"/>
      <c r="J27" s="42"/>
      <c r="K27" s="42"/>
      <c r="L27" s="42"/>
      <c r="M27" s="42"/>
      <c r="N27" s="42"/>
      <c r="O27" s="42"/>
      <c r="P27" s="37"/>
      <c r="Q27" s="39"/>
    </row>
    <row r="28" spans="1:17" s="44" customFormat="1" x14ac:dyDescent="0.35">
      <c r="A28" s="37"/>
      <c r="B28" s="37"/>
      <c r="C28" s="39"/>
      <c r="D28" s="39"/>
      <c r="E28" s="40"/>
      <c r="F28" s="40"/>
      <c r="G28" s="41"/>
      <c r="H28" s="42"/>
      <c r="I28" s="42"/>
      <c r="J28" s="42"/>
      <c r="K28" s="42"/>
      <c r="L28" s="42"/>
      <c r="M28" s="42"/>
      <c r="N28" s="42"/>
      <c r="O28" s="42"/>
      <c r="P28" s="37"/>
      <c r="Q28" s="73"/>
    </row>
    <row r="31" spans="1:17" s="44" customFormat="1" x14ac:dyDescent="0.35">
      <c r="A31" s="37"/>
      <c r="B31" s="37"/>
      <c r="C31" s="39"/>
      <c r="D31" s="39"/>
      <c r="E31" s="40"/>
      <c r="F31" s="40"/>
      <c r="G31" s="41"/>
      <c r="H31" s="42"/>
      <c r="I31" s="42"/>
      <c r="J31" s="42"/>
      <c r="K31" s="42"/>
      <c r="L31" s="42"/>
      <c r="M31" s="42"/>
      <c r="N31" s="42"/>
      <c r="O31" s="42"/>
      <c r="P31" s="46"/>
      <c r="Q31" s="39"/>
    </row>
    <row r="32" spans="1:17" s="44" customFormat="1" x14ac:dyDescent="0.35">
      <c r="A32" s="37"/>
      <c r="B32" s="37"/>
      <c r="C32" s="39"/>
      <c r="D32" s="39"/>
      <c r="E32" s="40"/>
      <c r="F32" s="40"/>
      <c r="G32" s="41"/>
      <c r="H32" s="42"/>
      <c r="I32" s="42"/>
      <c r="J32" s="42"/>
      <c r="K32" s="42"/>
      <c r="L32" s="42"/>
      <c r="M32" s="42"/>
      <c r="N32" s="42"/>
      <c r="O32" s="42"/>
      <c r="P32" s="46"/>
      <c r="Q32" s="39"/>
    </row>
    <row r="33" spans="1:17" s="44" customFormat="1" x14ac:dyDescent="0.35">
      <c r="A33" s="37"/>
      <c r="B33" s="37"/>
      <c r="C33" s="39"/>
      <c r="D33" s="39"/>
      <c r="E33" s="40"/>
      <c r="F33" s="40"/>
      <c r="G33" s="41"/>
      <c r="H33" s="42"/>
      <c r="I33" s="42"/>
      <c r="J33" s="42"/>
      <c r="K33" s="42"/>
      <c r="L33" s="42"/>
      <c r="M33" s="42"/>
      <c r="N33" s="42"/>
      <c r="O33" s="42"/>
      <c r="P33" s="46"/>
      <c r="Q33" s="39"/>
    </row>
    <row r="34" spans="1:17" s="44" customFormat="1" x14ac:dyDescent="0.35">
      <c r="A34" s="37"/>
      <c r="B34" s="37"/>
      <c r="C34" s="39"/>
      <c r="D34" s="39"/>
      <c r="E34" s="40"/>
      <c r="F34" s="40"/>
      <c r="G34" s="41"/>
      <c r="H34" s="42"/>
      <c r="I34" s="42"/>
      <c r="J34" s="42"/>
      <c r="K34" s="42"/>
      <c r="L34" s="42"/>
      <c r="M34" s="42"/>
      <c r="N34" s="42"/>
      <c r="O34" s="42"/>
      <c r="P34" s="46"/>
      <c r="Q34" s="73"/>
    </row>
    <row r="35" spans="1:17" s="44" customFormat="1" x14ac:dyDescent="0.35">
      <c r="A35" s="37"/>
      <c r="B35" s="37"/>
      <c r="C35" s="39"/>
      <c r="D35" s="39"/>
      <c r="E35" s="40"/>
      <c r="F35" s="40"/>
      <c r="G35" s="41"/>
      <c r="H35" s="42"/>
      <c r="I35" s="42"/>
      <c r="J35" s="42"/>
      <c r="K35" s="42"/>
      <c r="L35" s="42"/>
      <c r="M35" s="42"/>
      <c r="N35" s="42"/>
      <c r="O35" s="42"/>
      <c r="P35" s="46"/>
      <c r="Q35" s="73"/>
    </row>
  </sheetData>
  <autoFilter ref="A1:Q1" xr:uid="{A0499EC0-9336-4A43-84AD-C0713E773EA7}"/>
  <conditionalFormatting sqref="B1:B1048576">
    <cfRule type="duplicateValues" dxfId="7" priority="4"/>
  </conditionalFormatting>
  <conditionalFormatting sqref="E2:F8">
    <cfRule type="expression" priority="175">
      <formula>MOD(E556:E1048138,2)&gt;0</formula>
    </cfRule>
    <cfRule type="expression" dxfId="6" priority="176">
      <formula xml:space="preserve"> MOD(E:E/2,1)&gt;0</formula>
    </cfRule>
  </conditionalFormatting>
  <conditionalFormatting sqref="E5:F7">
    <cfRule type="expression" priority="1">
      <formula>MOD(E560:E1048142,2)&gt;0</formula>
    </cfRule>
  </conditionalFormatting>
  <conditionalFormatting sqref="E8:F8">
    <cfRule type="expression" priority="6">
      <formula>MOD(E561:E1048143,2)&gt;0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43DF-1620-4826-A2A7-5802820FCD6D}">
  <sheetPr>
    <tabColor theme="9" tint="0.59999389629810485"/>
  </sheetPr>
  <dimension ref="A1:R36"/>
  <sheetViews>
    <sheetView topLeftCell="B1" zoomScaleNormal="100" workbookViewId="0">
      <pane xSplit="3" ySplit="1" topLeftCell="I8" activePane="bottomRight" state="frozen"/>
      <selection pane="topRight" activeCell="C25" sqref="C25"/>
      <selection pane="bottomLeft" activeCell="C25" sqref="C25"/>
      <selection pane="bottomRight" activeCell="J9" sqref="J9"/>
    </sheetView>
  </sheetViews>
  <sheetFormatPr defaultColWidth="9.15234375" defaultRowHeight="15" x14ac:dyDescent="0.35"/>
  <cols>
    <col min="1" max="1" width="9.15234375" style="37"/>
    <col min="2" max="2" width="13.84375" style="37" bestFit="1" customWidth="1"/>
    <col min="3" max="3" width="43.53515625" style="39" bestFit="1" customWidth="1"/>
    <col min="4" max="4" width="22" style="39" bestFit="1" customWidth="1"/>
    <col min="5" max="5" width="14.15234375" style="40" customWidth="1"/>
    <col min="6" max="6" width="13.3828125" style="40" customWidth="1"/>
    <col min="7" max="7" width="39.3046875" style="41" customWidth="1"/>
    <col min="8" max="8" width="19.69140625" style="42" customWidth="1"/>
    <col min="9" max="9" width="16.53515625" style="42" customWidth="1"/>
    <col min="10" max="10" width="20.69140625" style="42" bestFit="1" customWidth="1"/>
    <col min="11" max="11" width="18.69140625" style="42" bestFit="1" customWidth="1"/>
    <col min="12" max="12" width="23.69140625" style="42" customWidth="1"/>
    <col min="13" max="13" width="11.3828125" style="42" bestFit="1" customWidth="1"/>
    <col min="14" max="14" width="16.3828125" style="42" bestFit="1" customWidth="1"/>
    <col min="15" max="15" width="28.53515625" style="42" bestFit="1" customWidth="1"/>
    <col min="16" max="16" width="18.84375" style="42" bestFit="1" customWidth="1"/>
    <col min="17" max="17" width="26.3828125" style="43" bestFit="1" customWidth="1"/>
    <col min="18" max="18" width="92.69140625" style="44" customWidth="1"/>
    <col min="19" max="16384" width="9.15234375" style="37"/>
  </cols>
  <sheetData>
    <row r="1" spans="1:18" ht="37.5" customHeight="1" x14ac:dyDescent="0.35">
      <c r="B1" s="47" t="s">
        <v>0</v>
      </c>
      <c r="C1" s="47" t="s">
        <v>1</v>
      </c>
      <c r="D1" s="47" t="s">
        <v>2</v>
      </c>
      <c r="E1" s="48" t="s">
        <v>3</v>
      </c>
      <c r="F1" s="49" t="s">
        <v>4</v>
      </c>
      <c r="G1" s="50" t="s">
        <v>5</v>
      </c>
      <c r="H1" s="49" t="s">
        <v>6</v>
      </c>
      <c r="I1" s="51" t="s">
        <v>7</v>
      </c>
      <c r="J1" s="51" t="s">
        <v>122</v>
      </c>
      <c r="K1" s="51" t="s">
        <v>10</v>
      </c>
      <c r="L1" s="51" t="s">
        <v>11</v>
      </c>
      <c r="M1" s="51" t="s">
        <v>12</v>
      </c>
      <c r="N1" s="51" t="s">
        <v>13</v>
      </c>
      <c r="O1" s="52" t="s">
        <v>56</v>
      </c>
      <c r="P1" s="52" t="s">
        <v>57</v>
      </c>
      <c r="Q1" s="53" t="s">
        <v>58</v>
      </c>
      <c r="R1" s="70" t="s">
        <v>17</v>
      </c>
    </row>
    <row r="2" spans="1:18" ht="37.5" customHeight="1" x14ac:dyDescent="0.35">
      <c r="B2" s="55"/>
      <c r="C2" s="56" t="s">
        <v>88</v>
      </c>
      <c r="D2" s="57" t="s">
        <v>60</v>
      </c>
      <c r="E2" s="58">
        <v>45763</v>
      </c>
      <c r="F2" s="58">
        <v>45930</v>
      </c>
      <c r="G2" s="57" t="s">
        <v>89</v>
      </c>
      <c r="H2" s="59">
        <v>1</v>
      </c>
      <c r="I2" s="60" t="s">
        <v>62</v>
      </c>
      <c r="J2" s="60" t="s">
        <v>123</v>
      </c>
      <c r="K2" s="60">
        <v>73</v>
      </c>
      <c r="L2" s="60">
        <v>71</v>
      </c>
      <c r="M2" s="60">
        <v>0</v>
      </c>
      <c r="N2" s="60">
        <v>0</v>
      </c>
      <c r="O2" s="61">
        <f t="shared" ref="O2:Q9" si="0">L2/K2</f>
        <v>0.9726027397260274</v>
      </c>
      <c r="P2" s="62">
        <f t="shared" si="0"/>
        <v>0</v>
      </c>
      <c r="Q2" s="61" t="e">
        <f t="shared" si="0"/>
        <v>#DIV/0!</v>
      </c>
      <c r="R2" s="56" t="s">
        <v>124</v>
      </c>
    </row>
    <row r="3" spans="1:18" ht="37.5" customHeight="1" x14ac:dyDescent="0.35">
      <c r="B3" s="55"/>
      <c r="C3" s="56" t="s">
        <v>70</v>
      </c>
      <c r="D3" s="57" t="s">
        <v>41</v>
      </c>
      <c r="E3" s="58">
        <v>45658</v>
      </c>
      <c r="F3" s="58">
        <v>46022</v>
      </c>
      <c r="G3" s="57" t="s">
        <v>71</v>
      </c>
      <c r="H3" s="59">
        <v>11</v>
      </c>
      <c r="I3" s="60" t="s">
        <v>62</v>
      </c>
      <c r="J3" s="60" t="s">
        <v>125</v>
      </c>
      <c r="K3" s="55">
        <v>43</v>
      </c>
      <c r="L3" s="55">
        <v>43</v>
      </c>
      <c r="M3" s="55">
        <v>0</v>
      </c>
      <c r="N3" s="55">
        <v>0</v>
      </c>
      <c r="O3" s="61">
        <f t="shared" si="0"/>
        <v>1</v>
      </c>
      <c r="P3" s="62">
        <f t="shared" si="0"/>
        <v>0</v>
      </c>
      <c r="Q3" s="61" t="e">
        <f t="shared" si="0"/>
        <v>#DIV/0!</v>
      </c>
      <c r="R3" s="56" t="s">
        <v>126</v>
      </c>
    </row>
    <row r="4" spans="1:18" ht="37.5" customHeight="1" x14ac:dyDescent="0.35">
      <c r="A4" s="38"/>
      <c r="B4" s="55"/>
      <c r="C4" s="56" t="s">
        <v>64</v>
      </c>
      <c r="D4" s="57" t="s">
        <v>41</v>
      </c>
      <c r="E4" s="58">
        <v>45658</v>
      </c>
      <c r="F4" s="58">
        <v>45838</v>
      </c>
      <c r="G4" s="57" t="s">
        <v>65</v>
      </c>
      <c r="H4" s="59">
        <v>39</v>
      </c>
      <c r="I4" s="60" t="s">
        <v>62</v>
      </c>
      <c r="J4" s="60" t="s">
        <v>125</v>
      </c>
      <c r="K4" s="55">
        <v>263</v>
      </c>
      <c r="L4" s="55">
        <v>247</v>
      </c>
      <c r="M4" s="55">
        <v>9</v>
      </c>
      <c r="N4" s="55">
        <v>9</v>
      </c>
      <c r="O4" s="61">
        <f t="shared" si="0"/>
        <v>0.93916349809885935</v>
      </c>
      <c r="P4" s="62">
        <f t="shared" si="0"/>
        <v>3.643724696356275E-2</v>
      </c>
      <c r="Q4" s="61">
        <f t="shared" si="0"/>
        <v>1</v>
      </c>
      <c r="R4" s="56" t="s">
        <v>127</v>
      </c>
    </row>
    <row r="5" spans="1:18" ht="37.5" customHeight="1" x14ac:dyDescent="0.35">
      <c r="B5" s="55"/>
      <c r="C5" s="56" t="s">
        <v>128</v>
      </c>
      <c r="D5" s="57" t="s">
        <v>41</v>
      </c>
      <c r="E5" s="58">
        <v>45658</v>
      </c>
      <c r="F5" s="58">
        <v>46022</v>
      </c>
      <c r="G5" s="57" t="s">
        <v>42</v>
      </c>
      <c r="H5" s="59">
        <v>16</v>
      </c>
      <c r="I5" s="55" t="s">
        <v>62</v>
      </c>
      <c r="J5" s="60" t="s">
        <v>125</v>
      </c>
      <c r="K5" s="55">
        <v>7</v>
      </c>
      <c r="L5" s="55">
        <v>7</v>
      </c>
      <c r="M5" s="55">
        <v>0</v>
      </c>
      <c r="N5" s="55">
        <v>0</v>
      </c>
      <c r="O5" s="61">
        <f t="shared" ref="O5" si="1">L5/K5</f>
        <v>1</v>
      </c>
      <c r="P5" s="62">
        <f t="shared" ref="P5" si="2">M5/L5</f>
        <v>0</v>
      </c>
      <c r="Q5" s="61" t="e">
        <f t="shared" ref="Q5" si="3">N5/M5</f>
        <v>#DIV/0!</v>
      </c>
      <c r="R5" s="56" t="s">
        <v>129</v>
      </c>
    </row>
    <row r="6" spans="1:18" ht="37.5" customHeight="1" x14ac:dyDescent="0.35">
      <c r="B6" s="55"/>
      <c r="C6" s="56" t="s">
        <v>67</v>
      </c>
      <c r="D6" s="57" t="s">
        <v>41</v>
      </c>
      <c r="E6" s="58">
        <v>45658</v>
      </c>
      <c r="F6" s="58">
        <v>46022</v>
      </c>
      <c r="G6" s="57" t="s">
        <v>42</v>
      </c>
      <c r="H6" s="59">
        <v>16</v>
      </c>
      <c r="I6" s="55" t="s">
        <v>62</v>
      </c>
      <c r="J6" s="60" t="s">
        <v>125</v>
      </c>
      <c r="K6" s="55">
        <v>103</v>
      </c>
      <c r="L6" s="55">
        <v>101</v>
      </c>
      <c r="M6" s="55">
        <v>1</v>
      </c>
      <c r="N6" s="55">
        <v>1</v>
      </c>
      <c r="O6" s="61">
        <f t="shared" si="0"/>
        <v>0.98058252427184467</v>
      </c>
      <c r="P6" s="62">
        <f t="shared" si="0"/>
        <v>9.9009900990099011E-3</v>
      </c>
      <c r="Q6" s="61">
        <f t="shared" si="0"/>
        <v>1</v>
      </c>
      <c r="R6" s="56" t="s">
        <v>130</v>
      </c>
    </row>
    <row r="7" spans="1:18" ht="37.5" customHeight="1" x14ac:dyDescent="0.35">
      <c r="B7" s="55"/>
      <c r="C7" s="56" t="s">
        <v>100</v>
      </c>
      <c r="D7" s="57" t="s">
        <v>41</v>
      </c>
      <c r="E7" s="58">
        <v>45658</v>
      </c>
      <c r="F7" s="58">
        <v>45838</v>
      </c>
      <c r="G7" s="57" t="s">
        <v>42</v>
      </c>
      <c r="H7" s="59">
        <v>3</v>
      </c>
      <c r="I7" s="63" t="s">
        <v>62</v>
      </c>
      <c r="J7" s="60" t="s">
        <v>125</v>
      </c>
      <c r="K7" s="55">
        <v>1</v>
      </c>
      <c r="L7" s="55">
        <v>1</v>
      </c>
      <c r="M7" s="55">
        <v>0</v>
      </c>
      <c r="N7" s="55">
        <v>0</v>
      </c>
      <c r="O7" s="61">
        <f t="shared" si="0"/>
        <v>1</v>
      </c>
      <c r="P7" s="62">
        <f t="shared" si="0"/>
        <v>0</v>
      </c>
      <c r="Q7" s="61" t="e">
        <f t="shared" si="0"/>
        <v>#DIV/0!</v>
      </c>
      <c r="R7" s="56" t="s">
        <v>131</v>
      </c>
    </row>
    <row r="8" spans="1:18" ht="37.5" customHeight="1" x14ac:dyDescent="0.35">
      <c r="B8" s="55"/>
      <c r="C8" s="56" t="s">
        <v>83</v>
      </c>
      <c r="D8" s="57" t="s">
        <v>84</v>
      </c>
      <c r="E8" s="58">
        <v>45658</v>
      </c>
      <c r="F8" s="58">
        <v>46022</v>
      </c>
      <c r="G8" s="57" t="s">
        <v>85</v>
      </c>
      <c r="H8" s="59">
        <v>6</v>
      </c>
      <c r="I8" s="55" t="s">
        <v>62</v>
      </c>
      <c r="J8" s="60" t="s">
        <v>123</v>
      </c>
      <c r="K8" s="55">
        <v>155</v>
      </c>
      <c r="L8" s="55">
        <v>150</v>
      </c>
      <c r="M8" s="55">
        <v>1</v>
      </c>
      <c r="N8" s="55">
        <v>1</v>
      </c>
      <c r="O8" s="61">
        <f t="shared" si="0"/>
        <v>0.967741935483871</v>
      </c>
      <c r="P8" s="62">
        <f t="shared" si="0"/>
        <v>6.6666666666666671E-3</v>
      </c>
      <c r="Q8" s="61">
        <f t="shared" si="0"/>
        <v>1</v>
      </c>
      <c r="R8" s="64" t="s">
        <v>132</v>
      </c>
    </row>
    <row r="9" spans="1:18" ht="37.5" customHeight="1" x14ac:dyDescent="0.35">
      <c r="B9" s="64"/>
      <c r="C9" s="65" t="s">
        <v>110</v>
      </c>
      <c r="D9" s="65" t="s">
        <v>111</v>
      </c>
      <c r="E9" s="63"/>
      <c r="F9" s="63"/>
      <c r="G9" s="65" t="s">
        <v>133</v>
      </c>
      <c r="H9" s="63">
        <v>9</v>
      </c>
      <c r="I9" s="63" t="s">
        <v>62</v>
      </c>
      <c r="J9" s="60" t="s">
        <v>123</v>
      </c>
      <c r="K9" s="63">
        <v>64</v>
      </c>
      <c r="L9" s="63">
        <v>62</v>
      </c>
      <c r="M9" s="63">
        <v>5</v>
      </c>
      <c r="N9" s="63">
        <v>5</v>
      </c>
      <c r="O9" s="61">
        <f t="shared" si="0"/>
        <v>0.96875</v>
      </c>
      <c r="P9" s="62">
        <f t="shared" si="0"/>
        <v>8.0645161290322578E-2</v>
      </c>
      <c r="Q9" s="66">
        <f t="shared" si="0"/>
        <v>1</v>
      </c>
      <c r="R9" s="56" t="s">
        <v>134</v>
      </c>
    </row>
    <row r="10" spans="1:18" ht="37.5" customHeight="1" x14ac:dyDescent="0.35">
      <c r="B10" s="36"/>
      <c r="C10" s="56" t="s">
        <v>18</v>
      </c>
      <c r="D10" s="57" t="s">
        <v>19</v>
      </c>
      <c r="E10" s="58"/>
      <c r="F10" s="58"/>
      <c r="G10" s="57" t="s">
        <v>20</v>
      </c>
      <c r="H10" s="112" t="s">
        <v>135</v>
      </c>
      <c r="I10" s="63" t="s">
        <v>62</v>
      </c>
      <c r="J10" s="60" t="s">
        <v>123</v>
      </c>
      <c r="K10" s="63">
        <v>35</v>
      </c>
      <c r="L10" s="63">
        <v>35</v>
      </c>
      <c r="M10" s="63">
        <v>28</v>
      </c>
      <c r="N10" s="63">
        <v>28</v>
      </c>
      <c r="O10" s="61">
        <f t="shared" ref="O10" si="4">L10/K10</f>
        <v>1</v>
      </c>
      <c r="P10" s="62">
        <f t="shared" ref="P10" si="5">M10/L10</f>
        <v>0.8</v>
      </c>
      <c r="Q10" s="66">
        <f t="shared" ref="Q10" si="6">N10/M10</f>
        <v>1</v>
      </c>
      <c r="R10" s="69" t="s">
        <v>136</v>
      </c>
    </row>
    <row r="11" spans="1:18" x14ac:dyDescent="0.35">
      <c r="L11" s="37"/>
      <c r="M11" s="37"/>
    </row>
    <row r="12" spans="1:18" x14ac:dyDescent="0.35">
      <c r="L12" s="37"/>
      <c r="M12" s="37"/>
    </row>
    <row r="13" spans="1:18" x14ac:dyDescent="0.35">
      <c r="L13" s="37"/>
      <c r="M13" s="37"/>
    </row>
    <row r="14" spans="1:18" x14ac:dyDescent="0.35">
      <c r="M14" s="37"/>
    </row>
    <row r="21" spans="1:17" s="44" customFormat="1" x14ac:dyDescent="0.35">
      <c r="A21" s="37"/>
      <c r="B21" s="37"/>
      <c r="C21" s="39"/>
      <c r="D21" s="39"/>
      <c r="E21" s="40"/>
      <c r="F21" s="40"/>
      <c r="G21" s="41"/>
      <c r="H21" s="42"/>
      <c r="I21" s="42"/>
      <c r="J21" s="42"/>
      <c r="K21" s="42"/>
      <c r="L21" s="42"/>
      <c r="M21" s="42"/>
      <c r="N21" s="42"/>
      <c r="O21" s="42"/>
      <c r="P21" s="37"/>
      <c r="Q21" s="37"/>
    </row>
    <row r="23" spans="1:17" s="44" customFormat="1" x14ac:dyDescent="0.35">
      <c r="A23" s="37"/>
      <c r="B23" s="37"/>
      <c r="C23" s="39"/>
      <c r="D23" s="39"/>
      <c r="E23" s="40"/>
      <c r="F23" s="40"/>
      <c r="G23" s="41"/>
      <c r="H23" s="42"/>
      <c r="I23" s="42"/>
      <c r="J23" s="42"/>
      <c r="K23" s="42"/>
      <c r="L23" s="42"/>
      <c r="M23" s="42"/>
      <c r="N23" s="42"/>
      <c r="O23" s="42"/>
      <c r="P23" s="45"/>
      <c r="Q23" s="43"/>
    </row>
    <row r="24" spans="1:17" s="44" customFormat="1" x14ac:dyDescent="0.35">
      <c r="A24" s="37"/>
      <c r="B24" s="37"/>
      <c r="C24" s="39"/>
      <c r="D24" s="39"/>
      <c r="E24" s="40"/>
      <c r="F24" s="40"/>
      <c r="G24" s="41"/>
      <c r="H24" s="42"/>
      <c r="I24" s="42"/>
      <c r="J24" s="42"/>
      <c r="K24" s="42"/>
      <c r="L24" s="42"/>
      <c r="M24" s="42"/>
      <c r="N24" s="42"/>
      <c r="O24" s="42"/>
      <c r="P24" s="37"/>
      <c r="Q24" s="43"/>
    </row>
    <row r="28" spans="1:17" s="44" customFormat="1" x14ac:dyDescent="0.35">
      <c r="A28" s="37"/>
      <c r="B28" s="37"/>
      <c r="C28" s="39"/>
      <c r="D28" s="39"/>
      <c r="E28" s="40"/>
      <c r="F28" s="40"/>
      <c r="G28" s="41"/>
      <c r="H28" s="42"/>
      <c r="I28" s="42"/>
      <c r="J28" s="42"/>
      <c r="K28" s="42"/>
      <c r="L28" s="42"/>
      <c r="M28" s="42"/>
      <c r="N28" s="42"/>
      <c r="O28" s="42"/>
      <c r="P28" s="37"/>
      <c r="Q28" s="37"/>
    </row>
    <row r="29" spans="1:17" s="44" customFormat="1" x14ac:dyDescent="0.35">
      <c r="A29" s="37"/>
      <c r="B29" s="37"/>
      <c r="C29" s="39"/>
      <c r="D29" s="39"/>
      <c r="E29" s="40"/>
      <c r="F29" s="40"/>
      <c r="G29" s="41"/>
      <c r="H29" s="42"/>
      <c r="I29" s="42"/>
      <c r="J29" s="42"/>
      <c r="K29" s="42"/>
      <c r="L29" s="42"/>
      <c r="M29" s="42"/>
      <c r="N29" s="42"/>
      <c r="O29" s="42"/>
      <c r="P29" s="37"/>
      <c r="Q29" s="43"/>
    </row>
    <row r="32" spans="1:17" s="44" customFormat="1" x14ac:dyDescent="0.35">
      <c r="A32" s="37"/>
      <c r="B32" s="37"/>
      <c r="C32" s="39"/>
      <c r="D32" s="39"/>
      <c r="E32" s="40"/>
      <c r="F32" s="40"/>
      <c r="G32" s="41"/>
      <c r="H32" s="42"/>
      <c r="I32" s="42"/>
      <c r="J32" s="42"/>
      <c r="K32" s="42"/>
      <c r="L32" s="42"/>
      <c r="M32" s="42"/>
      <c r="N32" s="42"/>
      <c r="O32" s="42"/>
      <c r="P32" s="46"/>
      <c r="Q32" s="37"/>
    </row>
    <row r="33" spans="1:17" s="44" customFormat="1" x14ac:dyDescent="0.35">
      <c r="A33" s="37"/>
      <c r="B33" s="37"/>
      <c r="C33" s="39"/>
      <c r="D33" s="39"/>
      <c r="E33" s="40"/>
      <c r="F33" s="40"/>
      <c r="G33" s="41"/>
      <c r="H33" s="42"/>
      <c r="I33" s="42"/>
      <c r="J33" s="42"/>
      <c r="K33" s="42"/>
      <c r="L33" s="42"/>
      <c r="M33" s="42"/>
      <c r="N33" s="42"/>
      <c r="O33" s="42"/>
      <c r="P33" s="46"/>
      <c r="Q33" s="37"/>
    </row>
    <row r="34" spans="1:17" s="44" customFormat="1" x14ac:dyDescent="0.35">
      <c r="A34" s="37"/>
      <c r="B34" s="37"/>
      <c r="C34" s="39"/>
      <c r="D34" s="39"/>
      <c r="E34" s="40"/>
      <c r="F34" s="40"/>
      <c r="G34" s="41"/>
      <c r="H34" s="42"/>
      <c r="I34" s="42"/>
      <c r="J34" s="42"/>
      <c r="K34" s="42"/>
      <c r="L34" s="42"/>
      <c r="M34" s="42"/>
      <c r="N34" s="42"/>
      <c r="O34" s="42"/>
      <c r="P34" s="46"/>
      <c r="Q34" s="37"/>
    </row>
    <row r="35" spans="1:17" s="44" customFormat="1" x14ac:dyDescent="0.35">
      <c r="A35" s="37"/>
      <c r="B35" s="37"/>
      <c r="C35" s="39"/>
      <c r="D35" s="39"/>
      <c r="E35" s="40"/>
      <c r="F35" s="40"/>
      <c r="G35" s="41"/>
      <c r="H35" s="42"/>
      <c r="I35" s="42"/>
      <c r="J35" s="42"/>
      <c r="K35" s="42"/>
      <c r="L35" s="42"/>
      <c r="M35" s="42"/>
      <c r="N35" s="42"/>
      <c r="O35" s="42"/>
      <c r="P35" s="46"/>
      <c r="Q35" s="43"/>
    </row>
    <row r="36" spans="1:17" s="44" customFormat="1" x14ac:dyDescent="0.35">
      <c r="A36" s="37"/>
      <c r="B36" s="37"/>
      <c r="C36" s="39"/>
      <c r="D36" s="39"/>
      <c r="E36" s="40"/>
      <c r="F36" s="40"/>
      <c r="G36" s="41"/>
      <c r="H36" s="42"/>
      <c r="I36" s="42"/>
      <c r="J36" s="42"/>
      <c r="K36" s="42"/>
      <c r="L36" s="42"/>
      <c r="M36" s="42"/>
      <c r="N36" s="42"/>
      <c r="O36" s="42"/>
      <c r="P36" s="46"/>
      <c r="Q36" s="43"/>
    </row>
  </sheetData>
  <autoFilter ref="A1:R1" xr:uid="{A0499EC0-9336-4A43-84AD-C0713E773EA7}"/>
  <conditionalFormatting sqref="B1:B1048576">
    <cfRule type="duplicateValues" dxfId="5" priority="4"/>
  </conditionalFormatting>
  <conditionalFormatting sqref="E2:F8">
    <cfRule type="expression" priority="5">
      <formula>MOD(E557:E1048139,2)&gt;0</formula>
    </cfRule>
    <cfRule type="expression" dxfId="4" priority="8">
      <formula xml:space="preserve"> MOD(E:E/2,1)&gt;0</formula>
    </cfRule>
  </conditionalFormatting>
  <conditionalFormatting sqref="E5:F7">
    <cfRule type="expression" priority="1">
      <formula>MOD(E561:E1048143,2)&gt;0</formula>
    </cfRule>
  </conditionalFormatting>
  <conditionalFormatting sqref="E8:F8">
    <cfRule type="expression" priority="6">
      <formula>MOD(E562:E1048144,2)&gt;0</formula>
    </cfRule>
  </conditionalFormatting>
  <conditionalFormatting sqref="E10:F10">
    <cfRule type="expression" dxfId="3" priority="2">
      <formula xml:space="preserve"> MOD(E:E/2,1)&gt;0</formula>
    </cfRule>
    <cfRule type="expression" priority="3">
      <formula>MOD(E800:E1048382,2)&gt;0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8B445-C01E-4F73-9397-58FFFF37552A}">
  <sheetPr>
    <tabColor theme="9" tint="0.59999389629810485"/>
  </sheetPr>
  <dimension ref="A1:R36"/>
  <sheetViews>
    <sheetView topLeftCell="B1" zoomScaleNormal="100" workbookViewId="0">
      <pane xSplit="3" ySplit="1" topLeftCell="K6" activePane="bottomRight" state="frozen"/>
      <selection pane="topRight" activeCell="C25" sqref="C25"/>
      <selection pane="bottomLeft" activeCell="C25" sqref="C25"/>
      <selection pane="bottomRight" activeCell="L10" sqref="L10"/>
    </sheetView>
  </sheetViews>
  <sheetFormatPr defaultColWidth="9.15234375" defaultRowHeight="15" x14ac:dyDescent="0.35"/>
  <cols>
    <col min="1" max="1" width="9.15234375" style="37"/>
    <col min="2" max="2" width="13.84375" style="37" bestFit="1" customWidth="1"/>
    <col min="3" max="3" width="43.53515625" style="39" bestFit="1" customWidth="1"/>
    <col min="4" max="4" width="22" style="39" bestFit="1" customWidth="1"/>
    <col min="5" max="5" width="14.15234375" style="40" hidden="1" customWidth="1"/>
    <col min="6" max="6" width="13.3828125" style="40" hidden="1" customWidth="1"/>
    <col min="7" max="7" width="44" style="41" customWidth="1"/>
    <col min="8" max="8" width="19.69140625" style="42" hidden="1" customWidth="1"/>
    <col min="9" max="9" width="16.53515625" style="42" hidden="1" customWidth="1"/>
    <col min="10" max="10" width="24.3828125" style="42" customWidth="1"/>
    <col min="11" max="11" width="18.69140625" style="42" bestFit="1" customWidth="1"/>
    <col min="12" max="12" width="23.69140625" style="42" customWidth="1"/>
    <col min="13" max="13" width="11.3828125" style="42" bestFit="1" customWidth="1"/>
    <col min="14" max="14" width="16.3828125" style="42" bestFit="1" customWidth="1"/>
    <col min="15" max="15" width="28.53515625" style="42" bestFit="1" customWidth="1"/>
    <col min="16" max="16" width="18.84375" style="42" bestFit="1" customWidth="1"/>
    <col min="17" max="17" width="26.3828125" style="43" bestFit="1" customWidth="1"/>
    <col min="18" max="18" width="92.69140625" style="44" customWidth="1"/>
    <col min="19" max="16384" width="9.15234375" style="37"/>
  </cols>
  <sheetData>
    <row r="1" spans="1:18" ht="37.5" customHeight="1" x14ac:dyDescent="0.35">
      <c r="B1" s="47" t="s">
        <v>0</v>
      </c>
      <c r="C1" s="47" t="s">
        <v>1</v>
      </c>
      <c r="D1" s="47" t="s">
        <v>2</v>
      </c>
      <c r="E1" s="48" t="s">
        <v>3</v>
      </c>
      <c r="F1" s="49" t="s">
        <v>4</v>
      </c>
      <c r="G1" s="50" t="s">
        <v>5</v>
      </c>
      <c r="H1" s="49" t="s">
        <v>6</v>
      </c>
      <c r="I1" s="51" t="s">
        <v>7</v>
      </c>
      <c r="J1" s="51" t="s">
        <v>122</v>
      </c>
      <c r="K1" s="51" t="s">
        <v>10</v>
      </c>
      <c r="L1" s="51" t="s">
        <v>11</v>
      </c>
      <c r="M1" s="51" t="s">
        <v>12</v>
      </c>
      <c r="N1" s="51" t="s">
        <v>13</v>
      </c>
      <c r="O1" s="52" t="s">
        <v>56</v>
      </c>
      <c r="P1" s="52" t="s">
        <v>57</v>
      </c>
      <c r="Q1" s="53" t="s">
        <v>58</v>
      </c>
      <c r="R1" s="70" t="s">
        <v>17</v>
      </c>
    </row>
    <row r="2" spans="1:18" ht="37.5" customHeight="1" x14ac:dyDescent="0.35">
      <c r="B2" s="55"/>
      <c r="C2" s="56" t="s">
        <v>88</v>
      </c>
      <c r="D2" s="57" t="s">
        <v>60</v>
      </c>
      <c r="E2" s="58">
        <v>45763</v>
      </c>
      <c r="F2" s="58">
        <v>45930</v>
      </c>
      <c r="G2" s="57" t="s">
        <v>89</v>
      </c>
      <c r="H2" s="59">
        <v>1</v>
      </c>
      <c r="I2" s="60" t="s">
        <v>62</v>
      </c>
      <c r="J2" s="60" t="s">
        <v>137</v>
      </c>
      <c r="K2" s="60">
        <v>53</v>
      </c>
      <c r="L2" s="60">
        <v>53</v>
      </c>
      <c r="M2" s="60">
        <v>0</v>
      </c>
      <c r="N2" s="60">
        <v>0</v>
      </c>
      <c r="O2" s="61">
        <f t="shared" ref="O2:Q10" si="0">L2/K2</f>
        <v>1</v>
      </c>
      <c r="P2" s="62">
        <f t="shared" si="0"/>
        <v>0</v>
      </c>
      <c r="Q2" s="61" t="e">
        <f t="shared" si="0"/>
        <v>#DIV/0!</v>
      </c>
      <c r="R2" s="56" t="s">
        <v>138</v>
      </c>
    </row>
    <row r="3" spans="1:18" ht="37.5" customHeight="1" x14ac:dyDescent="0.35">
      <c r="B3" s="55"/>
      <c r="C3" s="56" t="s">
        <v>70</v>
      </c>
      <c r="D3" s="57" t="s">
        <v>41</v>
      </c>
      <c r="E3" s="58">
        <v>45658</v>
      </c>
      <c r="F3" s="58">
        <v>46022</v>
      </c>
      <c r="G3" s="57" t="s">
        <v>71</v>
      </c>
      <c r="H3" s="59">
        <v>11</v>
      </c>
      <c r="I3" s="60" t="s">
        <v>62</v>
      </c>
      <c r="J3" s="60" t="s">
        <v>139</v>
      </c>
      <c r="K3" s="55">
        <v>85</v>
      </c>
      <c r="L3" s="55">
        <v>76</v>
      </c>
      <c r="M3" s="55">
        <v>0</v>
      </c>
      <c r="N3" s="55">
        <v>0</v>
      </c>
      <c r="O3" s="61">
        <f t="shared" si="0"/>
        <v>0.89411764705882357</v>
      </c>
      <c r="P3" s="62">
        <f t="shared" si="0"/>
        <v>0</v>
      </c>
      <c r="Q3" s="61" t="e">
        <f t="shared" si="0"/>
        <v>#DIV/0!</v>
      </c>
      <c r="R3" s="56" t="s">
        <v>140</v>
      </c>
    </row>
    <row r="4" spans="1:18" ht="37.5" customHeight="1" x14ac:dyDescent="0.35">
      <c r="A4" s="38"/>
      <c r="B4" s="55"/>
      <c r="C4" s="56" t="s">
        <v>64</v>
      </c>
      <c r="D4" s="57" t="s">
        <v>41</v>
      </c>
      <c r="E4" s="58">
        <v>45658</v>
      </c>
      <c r="F4" s="58">
        <v>45838</v>
      </c>
      <c r="G4" s="57" t="s">
        <v>65</v>
      </c>
      <c r="H4" s="59">
        <v>39</v>
      </c>
      <c r="I4" s="60" t="s">
        <v>62</v>
      </c>
      <c r="J4" s="60" t="s">
        <v>139</v>
      </c>
      <c r="K4" s="55">
        <v>203</v>
      </c>
      <c r="L4" s="55">
        <v>199</v>
      </c>
      <c r="M4" s="55">
        <v>1</v>
      </c>
      <c r="N4" s="55">
        <v>1</v>
      </c>
      <c r="O4" s="61">
        <f t="shared" si="0"/>
        <v>0.98029556650246308</v>
      </c>
      <c r="P4" s="62">
        <f t="shared" si="0"/>
        <v>5.0251256281407036E-3</v>
      </c>
      <c r="Q4" s="61">
        <f t="shared" si="0"/>
        <v>1</v>
      </c>
      <c r="R4" s="56" t="s">
        <v>141</v>
      </c>
    </row>
    <row r="5" spans="1:18" ht="37.5" customHeight="1" x14ac:dyDescent="0.35">
      <c r="B5" s="55"/>
      <c r="C5" s="56" t="s">
        <v>128</v>
      </c>
      <c r="D5" s="57" t="s">
        <v>41</v>
      </c>
      <c r="E5" s="58">
        <v>45658</v>
      </c>
      <c r="F5" s="58">
        <v>46022</v>
      </c>
      <c r="G5" s="57" t="s">
        <v>42</v>
      </c>
      <c r="H5" s="59">
        <v>16</v>
      </c>
      <c r="I5" s="55" t="s">
        <v>62</v>
      </c>
      <c r="J5" s="60" t="s">
        <v>139</v>
      </c>
      <c r="K5" s="55">
        <v>4</v>
      </c>
      <c r="L5" s="55">
        <v>4</v>
      </c>
      <c r="M5" s="55">
        <v>0</v>
      </c>
      <c r="N5" s="55">
        <v>0</v>
      </c>
      <c r="O5" s="61">
        <f t="shared" si="0"/>
        <v>1</v>
      </c>
      <c r="P5" s="62">
        <f t="shared" si="0"/>
        <v>0</v>
      </c>
      <c r="Q5" s="61" t="e">
        <f t="shared" si="0"/>
        <v>#DIV/0!</v>
      </c>
      <c r="R5" s="56" t="s">
        <v>142</v>
      </c>
    </row>
    <row r="6" spans="1:18" ht="37.5" customHeight="1" x14ac:dyDescent="0.35">
      <c r="B6" s="55"/>
      <c r="C6" s="56" t="s">
        <v>67</v>
      </c>
      <c r="D6" s="57" t="s">
        <v>41</v>
      </c>
      <c r="E6" s="58">
        <v>45658</v>
      </c>
      <c r="F6" s="58">
        <v>46022</v>
      </c>
      <c r="G6" s="57" t="s">
        <v>42</v>
      </c>
      <c r="H6" s="59">
        <v>16</v>
      </c>
      <c r="I6" s="55" t="s">
        <v>62</v>
      </c>
      <c r="J6" s="60" t="s">
        <v>139</v>
      </c>
      <c r="K6" s="55">
        <v>145</v>
      </c>
      <c r="L6" s="55">
        <v>116</v>
      </c>
      <c r="M6" s="55">
        <v>1</v>
      </c>
      <c r="N6" s="55">
        <v>1</v>
      </c>
      <c r="O6" s="61">
        <f t="shared" si="0"/>
        <v>0.8</v>
      </c>
      <c r="P6" s="62">
        <f t="shared" si="0"/>
        <v>8.6206896551724137E-3</v>
      </c>
      <c r="Q6" s="61">
        <f t="shared" si="0"/>
        <v>1</v>
      </c>
      <c r="R6" s="56" t="s">
        <v>143</v>
      </c>
    </row>
    <row r="7" spans="1:18" ht="37.5" customHeight="1" x14ac:dyDescent="0.35">
      <c r="B7" s="55"/>
      <c r="C7" s="56" t="s">
        <v>100</v>
      </c>
      <c r="D7" s="57" t="s">
        <v>41</v>
      </c>
      <c r="E7" s="58">
        <v>45658</v>
      </c>
      <c r="F7" s="58">
        <v>45838</v>
      </c>
      <c r="G7" s="57" t="s">
        <v>42</v>
      </c>
      <c r="H7" s="59">
        <v>3</v>
      </c>
      <c r="I7" s="63" t="s">
        <v>62</v>
      </c>
      <c r="J7" s="60" t="s">
        <v>139</v>
      </c>
      <c r="K7" s="55">
        <v>0</v>
      </c>
      <c r="L7" s="55">
        <v>0</v>
      </c>
      <c r="M7" s="55">
        <v>0</v>
      </c>
      <c r="N7" s="55">
        <v>0</v>
      </c>
      <c r="O7" s="61" t="e">
        <f t="shared" si="0"/>
        <v>#DIV/0!</v>
      </c>
      <c r="P7" s="62" t="e">
        <f t="shared" si="0"/>
        <v>#DIV/0!</v>
      </c>
      <c r="Q7" s="61" t="e">
        <f t="shared" si="0"/>
        <v>#DIV/0!</v>
      </c>
      <c r="R7" s="56" t="s">
        <v>144</v>
      </c>
    </row>
    <row r="8" spans="1:18" ht="37.5" customHeight="1" x14ac:dyDescent="0.35">
      <c r="B8" s="55"/>
      <c r="C8" s="56" t="s">
        <v>83</v>
      </c>
      <c r="D8" s="57" t="s">
        <v>84</v>
      </c>
      <c r="E8" s="58">
        <v>45658</v>
      </c>
      <c r="F8" s="58">
        <v>46022</v>
      </c>
      <c r="G8" s="57" t="s">
        <v>85</v>
      </c>
      <c r="H8" s="59">
        <v>6</v>
      </c>
      <c r="I8" s="55" t="s">
        <v>62</v>
      </c>
      <c r="J8" s="60" t="s">
        <v>137</v>
      </c>
      <c r="K8" s="55">
        <v>136</v>
      </c>
      <c r="L8" s="55">
        <v>135</v>
      </c>
      <c r="M8" s="55">
        <v>1</v>
      </c>
      <c r="N8" s="55">
        <v>1</v>
      </c>
      <c r="O8" s="61">
        <f t="shared" si="0"/>
        <v>0.99264705882352944</v>
      </c>
      <c r="P8" s="62">
        <f t="shared" si="0"/>
        <v>7.4074074074074077E-3</v>
      </c>
      <c r="Q8" s="61">
        <f t="shared" si="0"/>
        <v>1</v>
      </c>
      <c r="R8" s="64" t="s">
        <v>145</v>
      </c>
    </row>
    <row r="9" spans="1:18" ht="37.5" customHeight="1" x14ac:dyDescent="0.35">
      <c r="B9" s="64"/>
      <c r="C9" s="65" t="s">
        <v>110</v>
      </c>
      <c r="D9" s="65" t="s">
        <v>111</v>
      </c>
      <c r="E9" s="63"/>
      <c r="F9" s="63"/>
      <c r="G9" s="65" t="s">
        <v>133</v>
      </c>
      <c r="H9" s="63">
        <v>9</v>
      </c>
      <c r="I9" s="63" t="s">
        <v>62</v>
      </c>
      <c r="J9" s="60" t="s">
        <v>146</v>
      </c>
      <c r="K9" s="63">
        <v>89</v>
      </c>
      <c r="L9" s="63">
        <v>84</v>
      </c>
      <c r="M9" s="63">
        <v>9</v>
      </c>
      <c r="N9" s="63">
        <v>8</v>
      </c>
      <c r="O9" s="61">
        <f t="shared" si="0"/>
        <v>0.9438202247191011</v>
      </c>
      <c r="P9" s="62">
        <f t="shared" si="0"/>
        <v>0.10714285714285714</v>
      </c>
      <c r="Q9" s="66">
        <f t="shared" si="0"/>
        <v>0.88888888888888884</v>
      </c>
      <c r="R9" s="135" t="s">
        <v>147</v>
      </c>
    </row>
    <row r="10" spans="1:18" ht="98.25" customHeight="1" x14ac:dyDescent="0.35">
      <c r="B10" s="36"/>
      <c r="C10" s="56" t="s">
        <v>18</v>
      </c>
      <c r="D10" s="57" t="s">
        <v>19</v>
      </c>
      <c r="E10" s="58"/>
      <c r="F10" s="58"/>
      <c r="G10" s="57" t="s">
        <v>20</v>
      </c>
      <c r="H10" s="112" t="s">
        <v>135</v>
      </c>
      <c r="I10" s="63" t="s">
        <v>62</v>
      </c>
      <c r="J10" s="60" t="s">
        <v>137</v>
      </c>
      <c r="K10" s="63">
        <v>3</v>
      </c>
      <c r="L10" s="63">
        <v>3</v>
      </c>
      <c r="M10" s="63">
        <v>3</v>
      </c>
      <c r="N10" s="63">
        <v>3</v>
      </c>
      <c r="O10" s="61">
        <f t="shared" si="0"/>
        <v>1</v>
      </c>
      <c r="P10" s="62">
        <f t="shared" si="0"/>
        <v>1</v>
      </c>
      <c r="Q10" s="66">
        <f t="shared" si="0"/>
        <v>1</v>
      </c>
      <c r="R10" s="69" t="s">
        <v>148</v>
      </c>
    </row>
    <row r="11" spans="1:18" x14ac:dyDescent="0.35">
      <c r="L11" s="37"/>
      <c r="M11" s="37"/>
    </row>
    <row r="12" spans="1:18" x14ac:dyDescent="0.35">
      <c r="L12" s="37"/>
      <c r="M12" s="37"/>
    </row>
    <row r="13" spans="1:18" x14ac:dyDescent="0.35">
      <c r="L13" s="37"/>
      <c r="M13" s="37"/>
    </row>
    <row r="14" spans="1:18" x14ac:dyDescent="0.35">
      <c r="M14" s="37"/>
    </row>
    <row r="21" spans="1:17" s="44" customFormat="1" x14ac:dyDescent="0.35">
      <c r="A21" s="37"/>
      <c r="B21" s="37"/>
      <c r="C21" s="39"/>
      <c r="D21" s="39"/>
      <c r="E21" s="40"/>
      <c r="F21" s="40"/>
      <c r="G21" s="41"/>
      <c r="H21" s="42"/>
      <c r="I21" s="42"/>
      <c r="J21" s="42"/>
      <c r="K21" s="42"/>
      <c r="L21" s="42"/>
      <c r="M21" s="42"/>
      <c r="N21" s="42"/>
      <c r="O21" s="42"/>
      <c r="P21" s="37"/>
      <c r="Q21" s="37"/>
    </row>
    <row r="23" spans="1:17" s="44" customFormat="1" x14ac:dyDescent="0.35">
      <c r="A23" s="37"/>
      <c r="B23" s="37"/>
      <c r="C23" s="39"/>
      <c r="D23" s="39"/>
      <c r="E23" s="40"/>
      <c r="F23" s="40"/>
      <c r="G23" s="41"/>
      <c r="H23" s="42"/>
      <c r="I23" s="42"/>
      <c r="J23" s="42"/>
      <c r="K23" s="42"/>
      <c r="L23" s="42"/>
      <c r="M23" s="42"/>
      <c r="N23" s="42"/>
      <c r="O23" s="42"/>
      <c r="P23" s="45"/>
      <c r="Q23" s="43"/>
    </row>
    <row r="24" spans="1:17" s="44" customFormat="1" x14ac:dyDescent="0.35">
      <c r="A24" s="37"/>
      <c r="B24" s="37"/>
      <c r="C24" s="39"/>
      <c r="D24" s="39"/>
      <c r="E24" s="40"/>
      <c r="F24" s="40"/>
      <c r="G24" s="41"/>
      <c r="H24" s="42"/>
      <c r="I24" s="42"/>
      <c r="J24" s="42"/>
      <c r="K24" s="42"/>
      <c r="L24" s="42"/>
      <c r="M24" s="42"/>
      <c r="N24" s="42"/>
      <c r="O24" s="42"/>
      <c r="P24" s="37"/>
      <c r="Q24" s="43"/>
    </row>
    <row r="28" spans="1:17" s="44" customFormat="1" x14ac:dyDescent="0.35">
      <c r="A28" s="37"/>
      <c r="B28" s="37"/>
      <c r="C28" s="39"/>
      <c r="D28" s="39"/>
      <c r="E28" s="40"/>
      <c r="F28" s="40"/>
      <c r="G28" s="41"/>
      <c r="H28" s="42"/>
      <c r="I28" s="42"/>
      <c r="J28" s="42"/>
      <c r="K28" s="42"/>
      <c r="L28" s="42"/>
      <c r="M28" s="42"/>
      <c r="N28" s="42"/>
      <c r="O28" s="42"/>
      <c r="P28" s="37"/>
      <c r="Q28" s="37"/>
    </row>
    <row r="29" spans="1:17" s="44" customFormat="1" x14ac:dyDescent="0.35">
      <c r="A29" s="37"/>
      <c r="B29" s="37"/>
      <c r="C29" s="39"/>
      <c r="D29" s="39"/>
      <c r="E29" s="40"/>
      <c r="F29" s="40"/>
      <c r="G29" s="41"/>
      <c r="H29" s="42"/>
      <c r="I29" s="42"/>
      <c r="J29" s="42"/>
      <c r="K29" s="42"/>
      <c r="L29" s="42"/>
      <c r="M29" s="42"/>
      <c r="N29" s="42"/>
      <c r="O29" s="42"/>
      <c r="P29" s="37"/>
      <c r="Q29" s="43"/>
    </row>
    <row r="32" spans="1:17" s="44" customFormat="1" x14ac:dyDescent="0.35">
      <c r="A32" s="37"/>
      <c r="B32" s="37"/>
      <c r="C32" s="39"/>
      <c r="D32" s="39"/>
      <c r="E32" s="40"/>
      <c r="F32" s="40"/>
      <c r="G32" s="41"/>
      <c r="H32" s="42"/>
      <c r="I32" s="42"/>
      <c r="J32" s="42"/>
      <c r="K32" s="42"/>
      <c r="L32" s="42"/>
      <c r="M32" s="42"/>
      <c r="N32" s="42"/>
      <c r="O32" s="42"/>
      <c r="P32" s="46"/>
      <c r="Q32" s="37"/>
    </row>
    <row r="33" spans="1:17" s="44" customFormat="1" x14ac:dyDescent="0.35">
      <c r="A33" s="37"/>
      <c r="B33" s="37"/>
      <c r="C33" s="39"/>
      <c r="D33" s="39"/>
      <c r="E33" s="40"/>
      <c r="F33" s="40"/>
      <c r="G33" s="41"/>
      <c r="H33" s="42"/>
      <c r="I33" s="42"/>
      <c r="J33" s="42"/>
      <c r="K33" s="42"/>
      <c r="L33" s="42"/>
      <c r="M33" s="42"/>
      <c r="N33" s="42"/>
      <c r="O33" s="42"/>
      <c r="P33" s="46"/>
      <c r="Q33" s="37"/>
    </row>
    <row r="34" spans="1:17" s="44" customFormat="1" x14ac:dyDescent="0.35">
      <c r="A34" s="37"/>
      <c r="B34" s="37"/>
      <c r="C34" s="39"/>
      <c r="D34" s="39"/>
      <c r="E34" s="40"/>
      <c r="F34" s="40"/>
      <c r="G34" s="41"/>
      <c r="H34" s="42"/>
      <c r="I34" s="42"/>
      <c r="J34" s="42"/>
      <c r="K34" s="42"/>
      <c r="L34" s="42"/>
      <c r="M34" s="42"/>
      <c r="N34" s="42"/>
      <c r="O34" s="42"/>
      <c r="P34" s="46"/>
      <c r="Q34" s="37"/>
    </row>
    <row r="35" spans="1:17" s="44" customFormat="1" x14ac:dyDescent="0.35">
      <c r="A35" s="37"/>
      <c r="B35" s="37"/>
      <c r="C35" s="39"/>
      <c r="D35" s="39"/>
      <c r="E35" s="40"/>
      <c r="F35" s="40"/>
      <c r="G35" s="41"/>
      <c r="H35" s="42"/>
      <c r="I35" s="42"/>
      <c r="J35" s="42"/>
      <c r="K35" s="42"/>
      <c r="L35" s="42"/>
      <c r="M35" s="42"/>
      <c r="N35" s="42"/>
      <c r="O35" s="42"/>
      <c r="P35" s="46"/>
      <c r="Q35" s="43"/>
    </row>
    <row r="36" spans="1:17" s="44" customFormat="1" x14ac:dyDescent="0.35">
      <c r="A36" s="37"/>
      <c r="B36" s="37"/>
      <c r="C36" s="39"/>
      <c r="D36" s="39"/>
      <c r="E36" s="40"/>
      <c r="F36" s="40"/>
      <c r="G36" s="41"/>
      <c r="H36" s="42"/>
      <c r="I36" s="42"/>
      <c r="J36" s="42"/>
      <c r="K36" s="42"/>
      <c r="L36" s="42"/>
      <c r="M36" s="42"/>
      <c r="N36" s="42"/>
      <c r="O36" s="42"/>
      <c r="P36" s="46"/>
      <c r="Q36" s="43"/>
    </row>
  </sheetData>
  <autoFilter ref="A1:R1" xr:uid="{A0499EC0-9336-4A43-84AD-C0713E773EA7}"/>
  <conditionalFormatting sqref="B1:B1048576">
    <cfRule type="duplicateValues" dxfId="2" priority="4"/>
  </conditionalFormatting>
  <conditionalFormatting sqref="E2:F8">
    <cfRule type="expression" priority="5">
      <formula>MOD(E557:E1048139,2)&gt;0</formula>
    </cfRule>
    <cfRule type="expression" dxfId="1" priority="7">
      <formula xml:space="preserve"> MOD(E:E/2,1)&gt;0</formula>
    </cfRule>
  </conditionalFormatting>
  <conditionalFormatting sqref="E5:F7">
    <cfRule type="expression" priority="1">
      <formula>MOD(E561:E1048143,2)&gt;0</formula>
    </cfRule>
  </conditionalFormatting>
  <conditionalFormatting sqref="E8:F8">
    <cfRule type="expression" priority="6">
      <formula>MOD(E562:E1048144,2)&gt;0</formula>
    </cfRule>
  </conditionalFormatting>
  <conditionalFormatting sqref="E10:F10">
    <cfRule type="expression" dxfId="0" priority="2">
      <formula xml:space="preserve"> MOD(E:E/2,1)&gt;0</formula>
    </cfRule>
    <cfRule type="expression" priority="3">
      <formula>MOD(E800:E1048382,2)&gt;0</formula>
    </cfRule>
  </conditionalFormatting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D1CB-3B93-4D65-9BFE-46A113D9F0AD}">
  <sheetPr codeName="Sheet10">
    <tabColor rgb="FF00B0F0"/>
  </sheetPr>
  <dimension ref="B3:F20"/>
  <sheetViews>
    <sheetView tabSelected="1" topLeftCell="A4" zoomScaleNormal="100" workbookViewId="0">
      <selection activeCell="D13" sqref="D13:E13"/>
    </sheetView>
  </sheetViews>
  <sheetFormatPr defaultColWidth="9.3046875" defaultRowHeight="19.3" x14ac:dyDescent="0.65"/>
  <cols>
    <col min="1" max="1" width="9.53515625" style="95" customWidth="1"/>
    <col min="2" max="2" width="28.3828125" style="95" customWidth="1"/>
    <col min="3" max="3" width="48.53515625" style="95" bestFit="1" customWidth="1"/>
    <col min="4" max="4" width="27" style="95" customWidth="1"/>
    <col min="5" max="5" width="70" style="95" customWidth="1"/>
    <col min="6" max="6" width="20.15234375" style="95" customWidth="1"/>
    <col min="7" max="16384" width="9.3046875" style="95"/>
  </cols>
  <sheetData>
    <row r="3" spans="2:5" ht="39.65" customHeight="1" x14ac:dyDescent="0.65">
      <c r="B3" s="106" t="s">
        <v>7</v>
      </c>
      <c r="C3" s="136" t="s">
        <v>149</v>
      </c>
      <c r="D3" s="137"/>
      <c r="E3" s="138"/>
    </row>
    <row r="4" spans="2:5" ht="92.25" customHeight="1" x14ac:dyDescent="0.65">
      <c r="B4" s="96" t="s">
        <v>22</v>
      </c>
      <c r="C4" s="142" t="s">
        <v>150</v>
      </c>
      <c r="D4" s="139"/>
      <c r="E4" s="139"/>
    </row>
    <row r="5" spans="2:5" ht="85.5" customHeight="1" x14ac:dyDescent="0.65">
      <c r="B5" s="96" t="s">
        <v>62</v>
      </c>
      <c r="C5" s="142" t="s">
        <v>151</v>
      </c>
      <c r="D5" s="139"/>
      <c r="E5" s="139"/>
    </row>
    <row r="8" spans="2:5" ht="29.25" customHeight="1" x14ac:dyDescent="0.65">
      <c r="B8" s="105" t="s">
        <v>152</v>
      </c>
    </row>
    <row r="9" spans="2:5" ht="27.75" customHeight="1" x14ac:dyDescent="0.65">
      <c r="B9" s="140" t="s">
        <v>153</v>
      </c>
      <c r="C9" s="97" t="s">
        <v>56</v>
      </c>
      <c r="D9" s="140" t="s">
        <v>154</v>
      </c>
      <c r="E9" s="140"/>
    </row>
    <row r="10" spans="2:5" ht="38.25" customHeight="1" x14ac:dyDescent="0.65">
      <c r="B10" s="141"/>
      <c r="C10" s="98" t="s">
        <v>155</v>
      </c>
      <c r="D10" s="98" t="s">
        <v>156</v>
      </c>
      <c r="E10" s="98" t="s">
        <v>157</v>
      </c>
    </row>
    <row r="11" spans="2:5" ht="53.25" customHeight="1" x14ac:dyDescent="0.65">
      <c r="B11" s="96" t="s">
        <v>158</v>
      </c>
      <c r="C11" s="99" t="s">
        <v>159</v>
      </c>
      <c r="D11" s="143" t="s">
        <v>170</v>
      </c>
      <c r="E11" s="143"/>
    </row>
    <row r="12" spans="2:5" ht="53.25" customHeight="1" x14ac:dyDescent="0.65">
      <c r="B12" s="96" t="s">
        <v>160</v>
      </c>
      <c r="C12" s="100" t="s">
        <v>161</v>
      </c>
      <c r="D12" s="144" t="s">
        <v>172</v>
      </c>
      <c r="E12" s="145"/>
    </row>
    <row r="13" spans="2:5" ht="53.25" customHeight="1" x14ac:dyDescent="0.65">
      <c r="B13" s="96" t="s">
        <v>162</v>
      </c>
      <c r="C13" s="100" t="s">
        <v>163</v>
      </c>
      <c r="D13" s="144" t="s">
        <v>171</v>
      </c>
      <c r="E13" s="145"/>
    </row>
    <row r="17" spans="2:6" ht="30.75" customHeight="1" x14ac:dyDescent="0.65">
      <c r="B17" s="101" t="s">
        <v>164</v>
      </c>
      <c r="C17" s="102"/>
      <c r="D17" s="103"/>
      <c r="E17" s="103"/>
    </row>
    <row r="18" spans="2:6" ht="49.5" customHeight="1" x14ac:dyDescent="0.65">
      <c r="B18" s="104" t="s">
        <v>165</v>
      </c>
      <c r="C18" s="139" t="s">
        <v>166</v>
      </c>
      <c r="D18" s="139"/>
      <c r="E18" s="139"/>
      <c r="F18" s="103"/>
    </row>
    <row r="19" spans="2:6" ht="49.5" customHeight="1" x14ac:dyDescent="0.65">
      <c r="B19" s="104" t="s">
        <v>156</v>
      </c>
      <c r="C19" s="139" t="s">
        <v>167</v>
      </c>
      <c r="D19" s="139"/>
      <c r="E19" s="139"/>
      <c r="F19" s="103"/>
    </row>
    <row r="20" spans="2:6" ht="49.5" customHeight="1" x14ac:dyDescent="0.65">
      <c r="B20" s="104" t="s">
        <v>168</v>
      </c>
      <c r="C20" s="139" t="s">
        <v>169</v>
      </c>
      <c r="D20" s="139"/>
      <c r="E20" s="139"/>
      <c r="F20" s="103"/>
    </row>
  </sheetData>
  <mergeCells count="11">
    <mergeCell ref="C3:E3"/>
    <mergeCell ref="C18:E18"/>
    <mergeCell ref="C19:E19"/>
    <mergeCell ref="C20:E20"/>
    <mergeCell ref="B9:B10"/>
    <mergeCell ref="C4:E4"/>
    <mergeCell ref="C5:E5"/>
    <mergeCell ref="D9:E9"/>
    <mergeCell ref="D11:E11"/>
    <mergeCell ref="D12:E12"/>
    <mergeCell ref="D13:E1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C2141999F3A34989E45D589C11CC4C" ma:contentTypeVersion="4" ma:contentTypeDescription="Create a new document." ma:contentTypeScope="" ma:versionID="24d699b8f429e1560400ef0a67812efe">
  <xsd:schema xmlns:xsd="http://www.w3.org/2001/XMLSchema" xmlns:xs="http://www.w3.org/2001/XMLSchema" xmlns:p="http://schemas.microsoft.com/office/2006/metadata/properties" xmlns:ns2="65d4c795-5362-4472-a968-0591b4901adb" targetNamespace="http://schemas.microsoft.com/office/2006/metadata/properties" ma:root="true" ma:fieldsID="ee8f884f8b22b9ab402ffe2da75b1f05" ns2:_="">
    <xsd:import namespace="65d4c795-5362-4472-a968-0591b4901a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d4c795-5362-4472-a968-0591b4901a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A5E9D6-D263-445D-A876-96A4702D14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794A37-9ADE-46B4-9988-E83AFFE4A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d4c795-5362-4472-a968-0591b4901a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BA5460-617B-4FEF-BA90-2B9D69F7B2B2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29b7d34e-545d-48ef-aae6-8370e78eb279}" enabled="1" method="Privileged" siteId="{fab2d60f-e614-4f9d-b2ad-9fb1397f2ef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SI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Quality Metrics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Mahfudin</dc:creator>
  <cp:keywords/>
  <dc:description/>
  <cp:lastModifiedBy>Mahfudin</cp:lastModifiedBy>
  <cp:revision/>
  <dcterms:created xsi:type="dcterms:W3CDTF">2025-07-08T07:30:14Z</dcterms:created>
  <dcterms:modified xsi:type="dcterms:W3CDTF">2025-11-27T02:43:45Z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0x0101004DC2141999F3A34989E45D589C11CC4C</vt:lpwstr>
  </property>
</Properties>
</file>